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 Team" sheetId="1" r:id="rId5"/>
    <sheet state="visible" name="SDR Certification Process" sheetId="2" r:id="rId6"/>
    <sheet state="visible" name="SDR  AE Pairings" sheetId="3" r:id="rId7"/>
    <sheet state="visible" name="AE Ramping Rep Status" sheetId="4" r:id="rId8"/>
    <sheet state="visible" name="AE Docs &amp; Certifications" sheetId="5" r:id="rId9"/>
    <sheet state="visible" name="SDR Candidates March &amp; April" sheetId="6" r:id="rId10"/>
    <sheet state="visible" name="NEW SDR ONBOARDING WEEK 1" sheetId="7" r:id="rId11"/>
    <sheet state="visible" name="Certifications " sheetId="8" r:id="rId12"/>
    <sheet state="visible" name="Sheet7" sheetId="9" r:id="rId13"/>
  </sheets>
  <definedNames>
    <definedName hidden="1" localSheetId="0" name="_xlnm._FilterDatabase">'AE Team'!$A$2:$AB$37</definedName>
    <definedName hidden="1" localSheetId="2" name="_xlnm._FilterDatabase">'SDR  AE Pairings'!$A$1:$D$17</definedName>
    <definedName hidden="1" localSheetId="4" name="_xlnm._FilterDatabase">'AE Docs &amp; Certifications'!$A$2:$P$33</definedName>
    <definedName hidden="1" localSheetId="2" name="Z_F4A7363F_F7BD_4CFC_8033_6B425F9C9509_.wvu.FilterData">'SDR  AE Pairings'!$A$1:$D$17</definedName>
    <definedName hidden="1" localSheetId="2" name="Z_9BB3DD15_0992_4663_A619_74A6B18EF59D_.wvu.FilterData">'SDR  AE Pairings'!$A$1:$D$17</definedName>
  </definedNames>
  <calcPr/>
  <customWorkbookViews>
    <customWorkbookView activeSheetId="0" maximized="1" windowHeight="0" windowWidth="0" guid="{F4A7363F-F7BD-4CFC-8033-6B425F9C9509}" name="Filter 2"/>
    <customWorkbookView activeSheetId="0" maximized="1" windowHeight="0" windowWidth="0" guid="{9BB3DD15-0992-4663-A619-74A6B18EF59D}" name="Filter 1"/>
  </customWorkbookViews>
</workbook>
</file>

<file path=xl/sharedStrings.xml><?xml version="1.0" encoding="utf-8"?>
<sst xmlns="http://schemas.openxmlformats.org/spreadsheetml/2006/main" count="992" uniqueCount="323">
  <si>
    <t xml:space="preserve">m looking </t>
  </si>
  <si>
    <t>Loop AI Sales Roster</t>
  </si>
  <si>
    <t>Ramping Status</t>
  </si>
  <si>
    <t>Tech Stack</t>
  </si>
  <si>
    <t>Name</t>
  </si>
  <si>
    <t>Maturity</t>
  </si>
  <si>
    <t>Role</t>
  </si>
  <si>
    <t>Level</t>
  </si>
  <si>
    <t>Office</t>
  </si>
  <si>
    <t>Manager</t>
  </si>
  <si>
    <t>Onboarding Buddy</t>
  </si>
  <si>
    <t>Hire Date</t>
  </si>
  <si>
    <t>Status</t>
  </si>
  <si>
    <t>Cert 1 Date</t>
  </si>
  <si>
    <t xml:space="preserve">Certifications: TBD </t>
  </si>
  <si>
    <t>Google Suite</t>
  </si>
  <si>
    <t>Slack</t>
  </si>
  <si>
    <t>Salesnav</t>
  </si>
  <si>
    <t>Zoominfo</t>
  </si>
  <si>
    <t>Docusign</t>
  </si>
  <si>
    <t>Fireflies</t>
  </si>
  <si>
    <t>Momentum</t>
  </si>
  <si>
    <t>Nooks</t>
  </si>
  <si>
    <t>Calendly</t>
  </si>
  <si>
    <t>Claude</t>
  </si>
  <si>
    <t>Brad Dressler</t>
  </si>
  <si>
    <t>SDR Team Lead</t>
  </si>
  <si>
    <t>Mid Market</t>
  </si>
  <si>
    <t>NYC</t>
  </si>
  <si>
    <t>Brian Sufalko</t>
  </si>
  <si>
    <t>ramped</t>
  </si>
  <si>
    <t>Nick Barbo</t>
  </si>
  <si>
    <t>ENT</t>
  </si>
  <si>
    <t>Nathan Meyer</t>
  </si>
  <si>
    <t>Tyrell Belle</t>
  </si>
  <si>
    <t>Alexis Ribero</t>
  </si>
  <si>
    <t>SDR</t>
  </si>
  <si>
    <t>SMB</t>
  </si>
  <si>
    <t>ramping</t>
  </si>
  <si>
    <t>Emma Mori</t>
  </si>
  <si>
    <t>Josue/Peter/Lexi</t>
  </si>
  <si>
    <t>Jake Silverberg</t>
  </si>
  <si>
    <t>Gus Kirkpatrick</t>
  </si>
  <si>
    <t>Brad/Brian/Ty</t>
  </si>
  <si>
    <t>Samir Sadhwani</t>
  </si>
  <si>
    <t>Sean McNelis</t>
  </si>
  <si>
    <t>Tampa</t>
  </si>
  <si>
    <t>Brian/Josue/Spencer</t>
  </si>
  <si>
    <t>Jack Simonsen</t>
  </si>
  <si>
    <t>Brian/Spencer</t>
  </si>
  <si>
    <t>Ben French</t>
  </si>
  <si>
    <t>Chandler Zombek</t>
  </si>
  <si>
    <t>Danny Park</t>
  </si>
  <si>
    <t>James Schrepel</t>
  </si>
  <si>
    <t>Josue Sanchez</t>
  </si>
  <si>
    <t>Olivia Johnson</t>
  </si>
  <si>
    <t>Peter Milillo</t>
  </si>
  <si>
    <t>Spencer Epps</t>
  </si>
  <si>
    <t>Vianny Gutierrez</t>
  </si>
  <si>
    <t>Charles Kagahastian</t>
  </si>
  <si>
    <t>Arthur Fisher</t>
  </si>
  <si>
    <t>Sarra Herlich</t>
  </si>
  <si>
    <t>AE</t>
  </si>
  <si>
    <t>Remote</t>
  </si>
  <si>
    <t>James Chavious</t>
  </si>
  <si>
    <t>Alexis Marrero</t>
  </si>
  <si>
    <t>Taylor Ludwick</t>
  </si>
  <si>
    <t>M1</t>
  </si>
  <si>
    <t>Alex Reyes</t>
  </si>
  <si>
    <t>Clayton Arvizu</t>
  </si>
  <si>
    <t>Matt Bullock</t>
  </si>
  <si>
    <t>Daniel Varela</t>
  </si>
  <si>
    <t>Simon Salomon</t>
  </si>
  <si>
    <t>SF</t>
  </si>
  <si>
    <t>Jessy Calderon</t>
  </si>
  <si>
    <t>Devyn Schwartzberg</t>
  </si>
  <si>
    <t>M2</t>
  </si>
  <si>
    <t>Henry Gimelfarb</t>
  </si>
  <si>
    <t>Carlton Ekiyor</t>
  </si>
  <si>
    <t>Jeff Lutz</t>
  </si>
  <si>
    <t>Eric Azaren</t>
  </si>
  <si>
    <t>Rep</t>
  </si>
  <si>
    <t>Start Date</t>
  </si>
  <si>
    <t>Certification 1 Date</t>
  </si>
  <si>
    <t>Certification Criteria</t>
  </si>
  <si>
    <t>Certification 2 Date</t>
  </si>
  <si>
    <t>NM: MARCH</t>
  </si>
  <si>
    <t>DEMO: MARCH</t>
  </si>
  <si>
    <t>ARR: MARCH</t>
  </si>
  <si>
    <t xml:space="preserve">Status </t>
  </si>
  <si>
    <t>Current Status</t>
  </si>
  <si>
    <t>Mid-Market</t>
  </si>
  <si>
    <t>Balance &amp; TruROI: Assessment</t>
  </si>
  <si>
    <t>Passed Cert.1</t>
  </si>
  <si>
    <t>15 Call Sims: MM Franchises</t>
  </si>
  <si>
    <t>TBD</t>
  </si>
  <si>
    <t>Yellow</t>
  </si>
  <si>
    <t>Alexis Pinero</t>
  </si>
  <si>
    <t>Green</t>
  </si>
  <si>
    <t>10 Call Sims: Refer to Calling Rubric (Opener, Elevator Pitch, Call to Action</t>
  </si>
  <si>
    <t>Brand 10+ (10 Simulations)</t>
  </si>
  <si>
    <t>Too Soon</t>
  </si>
  <si>
    <t xml:space="preserve">MM </t>
  </si>
  <si>
    <t xml:space="preserve">Soon to be Eligible </t>
  </si>
  <si>
    <t>ENT: Danny</t>
  </si>
  <si>
    <t xml:space="preserve">Matt </t>
  </si>
  <si>
    <t>Sarra</t>
  </si>
  <si>
    <t>Devyn</t>
  </si>
  <si>
    <t>ENT: Ty</t>
  </si>
  <si>
    <t>James</t>
  </si>
  <si>
    <t>Alex</t>
  </si>
  <si>
    <t>MM: Brad</t>
  </si>
  <si>
    <t>Alexis</t>
  </si>
  <si>
    <t>MM: Chandler</t>
  </si>
  <si>
    <t>Simon</t>
  </si>
  <si>
    <t>Nick</t>
  </si>
  <si>
    <t>MM: James</t>
  </si>
  <si>
    <t>MM: Josue</t>
  </si>
  <si>
    <t>MM: Olivia</t>
  </si>
  <si>
    <t>MM: Peter</t>
  </si>
  <si>
    <t>MM: Spencer</t>
  </si>
  <si>
    <t>MM: Vianny</t>
  </si>
  <si>
    <t>SMB: Ben</t>
  </si>
  <si>
    <t>AE1</t>
  </si>
  <si>
    <t>SMB: Lexi</t>
  </si>
  <si>
    <t>Jake</t>
  </si>
  <si>
    <t>Emma</t>
  </si>
  <si>
    <t>are the following taking demos right now as SMB or MM?</t>
  </si>
  <si>
    <t>Jessy, Daniel, Carlton, Eric, Taylor?</t>
  </si>
  <si>
    <t>Benchmarks for AE Ramp</t>
  </si>
  <si>
    <t>AE Name</t>
  </si>
  <si>
    <t xml:space="preserve">M2 Quota </t>
  </si>
  <si>
    <t>Current</t>
  </si>
  <si>
    <t>Quota % Pacing</t>
  </si>
  <si>
    <t>Open Pipeline</t>
  </si>
  <si>
    <t xml:space="preserve">Missing </t>
  </si>
  <si>
    <t xml:space="preserve">M3 Quota </t>
  </si>
  <si>
    <t>-</t>
  </si>
  <si>
    <t>Total</t>
  </si>
  <si>
    <t>Average</t>
  </si>
  <si>
    <t>Baseline calculated using average weekly meetings set from 10/1/24 until pilot began.</t>
  </si>
  <si>
    <t>Certification Date</t>
  </si>
  <si>
    <t xml:space="preserve">Attempt 1 </t>
  </si>
  <si>
    <t>Attempt 2</t>
  </si>
  <si>
    <t>Meetings Set</t>
  </si>
  <si>
    <t>Meetings Held</t>
  </si>
  <si>
    <t>No</t>
  </si>
  <si>
    <t>Yes</t>
  </si>
  <si>
    <t>N/A</t>
  </si>
  <si>
    <t xml:space="preserve">% Pass </t>
  </si>
  <si>
    <t>M1 OB Dials</t>
  </si>
  <si>
    <t>M1 OB Meeting Set</t>
  </si>
  <si>
    <t>First Meeting Set Date</t>
  </si>
  <si>
    <t>Expected Meeting Set Date</t>
  </si>
  <si>
    <t xml:space="preserve">First Closed Deal </t>
  </si>
  <si>
    <t>Expected Closed Deal</t>
  </si>
  <si>
    <t xml:space="preserve">Second Closed Deal </t>
  </si>
  <si>
    <t>Second Expected Closed Deal</t>
  </si>
  <si>
    <t xml:space="preserve">1:1 Docs </t>
  </si>
  <si>
    <t>Demo</t>
  </si>
  <si>
    <t>Score</t>
  </si>
  <si>
    <t xml:space="preserve"> Demo </t>
  </si>
  <si>
    <t xml:space="preserve">Demo </t>
  </si>
  <si>
    <t>Link to Feedback</t>
  </si>
  <si>
    <t>Balor O'Donnell</t>
  </si>
  <si>
    <t>Bentley Huff</t>
  </si>
  <si>
    <t>M4+</t>
  </si>
  <si>
    <t>Alexis &lt;&gt; Hutch: Weekly 1:1 Draft</t>
  </si>
  <si>
    <t>James &lt;&gt; Hutch: Weekly 1:1 Draft</t>
  </si>
  <si>
    <t>Sarra &lt;&gt; Hutch: Weekly 1:1 Draft</t>
  </si>
  <si>
    <t>Clay | Charles Weekly 1:1</t>
  </si>
  <si>
    <r>
      <rPr>
        <color rgb="FF1155CC"/>
        <u/>
      </rPr>
      <t>Protect</t>
    </r>
    <r>
      <rPr/>
      <t xml:space="preserve">, </t>
    </r>
    <r>
      <rPr>
        <color rgb="FF1155CC"/>
        <u/>
      </rPr>
      <t>Homepage &amp; Income Statement</t>
    </r>
  </si>
  <si>
    <t>Balance</t>
  </si>
  <si>
    <t>TruROI</t>
  </si>
  <si>
    <t xml:space="preserve">CLAY  Loop AI: AE Certification Scorecard </t>
  </si>
  <si>
    <t>Daniel | Charles Weekly 1:1</t>
  </si>
  <si>
    <t>Jessy | Charles Weekly 1:1</t>
  </si>
  <si>
    <t>Homepage &amp; Income Statement</t>
  </si>
  <si>
    <r>
      <rPr>
        <color rgb="FF1155CC"/>
        <u/>
      </rPr>
      <t>Balance 1</t>
    </r>
    <r>
      <rPr>
        <color rgb="FF1D1C1D"/>
      </rPr>
      <t>,</t>
    </r>
    <r>
      <rPr>
        <color rgb="FF000000"/>
      </rPr>
      <t xml:space="preserve"> </t>
    </r>
    <r>
      <rPr>
        <color rgb="FF1155CC"/>
        <u/>
      </rPr>
      <t>Balance 2</t>
    </r>
  </si>
  <si>
    <r>
      <rPr>
        <rFont val="Arial"/>
        <color rgb="FF1155CC"/>
        <u/>
      </rPr>
      <t>TruROI 1</t>
    </r>
    <r>
      <rPr>
        <rFont val="Arial"/>
      </rPr>
      <t xml:space="preserve">, </t>
    </r>
    <r>
      <rPr>
        <rFont val="Arial"/>
        <color rgb="FF1155CC"/>
        <u/>
      </rPr>
      <t>TruROI 2</t>
    </r>
  </si>
  <si>
    <t>Matt | Charles Weekly 1:1</t>
  </si>
  <si>
    <t>Taylor | Charles Weekly 1:1</t>
  </si>
  <si>
    <t>Deck &amp; Discovery</t>
  </si>
  <si>
    <t>Taylor Loop AI: AE Certification Scorecard 3/6/26</t>
  </si>
  <si>
    <t>1:1 AE Weekly - Simon</t>
  </si>
  <si>
    <t>X</t>
  </si>
  <si>
    <t>1:1 AE Weekly - Carlton Ekiyor</t>
  </si>
  <si>
    <t>Carlton - Protect Demo</t>
  </si>
  <si>
    <t>Carlton - Balance Demo</t>
  </si>
  <si>
    <t>Carlton - TruROI Demo</t>
  </si>
  <si>
    <t>1:1 AE Weekly - Eric Azaren</t>
  </si>
  <si>
    <t>Eric - Protect Demo</t>
  </si>
  <si>
    <t>Eric - Balance Demo</t>
  </si>
  <si>
    <t>Eric - TruROI Demo</t>
  </si>
  <si>
    <t xml:space="preserve">Eric  Loop AI: AE Certification Scorecard (Make a Copy) </t>
  </si>
  <si>
    <t>1:1 AE Weekly  - Jeff Lutz</t>
  </si>
  <si>
    <t>SDR Candidates - NYC/Tampa</t>
  </si>
  <si>
    <t>Resume</t>
  </si>
  <si>
    <t>Round 1</t>
  </si>
  <si>
    <t>Round 2</t>
  </si>
  <si>
    <t xml:space="preserve">Round 3 - </t>
  </si>
  <si>
    <t>Final Round - Anand</t>
  </si>
  <si>
    <t>Offer or Reject</t>
  </si>
  <si>
    <t>Expected Start Date</t>
  </si>
  <si>
    <t>Miguel Tunas</t>
  </si>
  <si>
    <t>Brad - Yes</t>
  </si>
  <si>
    <t>Brian - Yes</t>
  </si>
  <si>
    <t>Henry - Yes</t>
  </si>
  <si>
    <t>Anand - Yes</t>
  </si>
  <si>
    <t>Offer</t>
  </si>
  <si>
    <t>Tom Hanniffy</t>
  </si>
  <si>
    <t>Thomas Hanniffy-Resume (1).pdf</t>
  </si>
  <si>
    <t>Emily Giffhorn</t>
  </si>
  <si>
    <t>Henry - TBD</t>
  </si>
  <si>
    <t>Frank Dagenhart</t>
  </si>
  <si>
    <t>Frank Dagenhardt resume (1).pdf</t>
  </si>
  <si>
    <t>Brad - Maybe</t>
  </si>
  <si>
    <t>Nate - Yes</t>
  </si>
  <si>
    <t>Henry - Yes + Anand</t>
  </si>
  <si>
    <t>Natalia Roney</t>
  </si>
  <si>
    <t>Natalia_Roney_Resume (1).pdf</t>
  </si>
  <si>
    <t>Brian - Maybe</t>
  </si>
  <si>
    <t>Brad - No</t>
  </si>
  <si>
    <t>Christian Shorter</t>
  </si>
  <si>
    <t>Ouday - Yes</t>
  </si>
  <si>
    <t>Nick Bowker</t>
  </si>
  <si>
    <t>Hugo Sandoval</t>
  </si>
  <si>
    <t>Brian - 3/23/26</t>
  </si>
  <si>
    <t>Everything you need to complete in your first week at Loop AI: Emma Mori &amp; Jake Silverberg</t>
  </si>
  <si>
    <t>Training Item</t>
  </si>
  <si>
    <t>What It Covers</t>
  </si>
  <si>
    <t>PLATFORM &amp; PRODUCT</t>
  </si>
  <si>
    <t>Loop AI Overview</t>
  </si>
  <si>
    <t>High-level introduction to what Loop AI is, the problem it solves, and how it fits into the restaurant/franchise industry.</t>
  </si>
  <si>
    <t>COMPLETED</t>
  </si>
  <si>
    <t>Loop AI Ideal Customer</t>
  </si>
  <si>
    <t xml:space="preserve">Deeper walkthrough our happiest customers, including franchises and restaurant groups. </t>
  </si>
  <si>
    <t>☐</t>
  </si>
  <si>
    <t>Demo Environment</t>
  </si>
  <si>
    <t>A high level orientation to the demo environment. Seeing the product makes your cold calls more productive.</t>
  </si>
  <si>
    <t>TruROI Overview</t>
  </si>
  <si>
    <t>Introduction to TruROI: The ROI calculation tool used to show prospects the financial impact of Loop AI. Reviewed twice for depth.</t>
  </si>
  <si>
    <t>Recover (Chargebacks)</t>
  </si>
  <si>
    <t>Introduction to Loop AI's chargeback recovery product - what it is, who it's for, and how it fits into the broader platform story.</t>
  </si>
  <si>
    <t>Recover (Chargebacks Workflow)</t>
  </si>
  <si>
    <t>Deeper dive into the chargeback recovery workflow, how it creates value for operators, and how to position it during calls.</t>
  </si>
  <si>
    <t>YOUR ROLE</t>
  </si>
  <si>
    <t>Role &amp; Responsibilities</t>
  </si>
  <si>
    <t>Overview of the SDR function at Loop AI - what you own, who you work with, and how success is measured.</t>
  </si>
  <si>
    <t>SDR Role &amp; Responsibilities</t>
  </si>
  <si>
    <t>Detailed breakdown of the SDR role: daily expectations, KPIs, pipeline ownership, and how you hand off to AEs.</t>
  </si>
  <si>
    <t>(Ramping): 60-Day Goals</t>
  </si>
  <si>
    <t>Your ramp plan for the first 60 days. Covers activity targets, milestone checkpoints, and what "on track" looks like.</t>
  </si>
  <si>
    <t>SDR Results</t>
  </si>
  <si>
    <t>Review of current SDR performance benchmarks including what the top SDRs are hitting and what the team average looks like.</t>
  </si>
  <si>
    <t>COLD CALLING &amp; SALES SKILLS</t>
  </si>
  <si>
    <t>The Cold Calling Script</t>
  </si>
  <si>
    <t>The Week 1 onboarding script covering the opener, value proposition, and call to action. Your foundation for all early calls.</t>
  </si>
  <si>
    <t>Winning the Cold Call</t>
  </si>
  <si>
    <t>Coaching on mindset, tone, pacing, and what separates an average cold call from one that books a meeting.</t>
  </si>
  <si>
    <t>What Am I Actually Saying?</t>
  </si>
  <si>
    <t>Line-by-line breakdown of the script - explaining the "why" behind each phrase so the language becomes second nature.</t>
  </si>
  <si>
    <t>Objection Handling</t>
  </si>
  <si>
    <t>Reviewing and simulating the most common prospect objections including - send me an email, I already have a tool, what's the pricing.</t>
  </si>
  <si>
    <t>Cold Call Scoring</t>
  </si>
  <si>
    <t>The rubric used to evaluate your simulations and live calls. Know exactly what managers are listening for.</t>
  </si>
  <si>
    <t>Competitor Landscape</t>
  </si>
  <si>
    <t>Overview of the competitive space including who else is in the market, how we position against them, and common objections you'll hear.</t>
  </si>
  <si>
    <t>CERTIFICATIONS</t>
  </si>
  <si>
    <t>Green Light Certified</t>
  </si>
  <si>
    <t>Complete 10 cold call simulations to earn your Green Light. Required before dialing live prospects. Evaluated on opener, value prop, CTA, and tone.</t>
  </si>
  <si>
    <t>SDR Playbook (PDF)</t>
  </si>
  <si>
    <t>The full SDR playbook covering processes, messaging, objection handling, and best practices. Your go-to reference throughout ramp.</t>
  </si>
  <si>
    <t>TOOLS &amp; LOGINS</t>
  </si>
  <si>
    <t>Nooks Login</t>
  </si>
  <si>
    <t>Access setup for Nooks: the parallel dialing platform used for all outbound cold calling. Complete audio check before your first session.</t>
  </si>
  <si>
    <t>Prepse Login</t>
  </si>
  <si>
    <t>Access to Prepse: Used for call preparation, prospect research, and pre-call planning.</t>
  </si>
  <si>
    <t>Apollo Login</t>
  </si>
  <si>
    <t>Access to Apollo: Your prospecting and contact data tool for building and enriching call lists.</t>
  </si>
  <si>
    <t>Salesforce Login</t>
  </si>
  <si>
    <t>Access to Salesforce CRM: Where all activity is logged, pipeline is tracked, and deals are managed.</t>
  </si>
  <si>
    <t>Fireflies Login</t>
  </si>
  <si>
    <t>Access to Fireflies: Where all your AE demos are recording for coaching purposes.</t>
  </si>
  <si>
    <t>CRM &amp; PROCESS</t>
  </si>
  <si>
    <t>WGLL: Salesforce</t>
  </si>
  <si>
    <t>"What Good Looks Like" in Salesforce — how to log calls correctly, update contact records, and keep your pipeline clean and accurate.</t>
  </si>
  <si>
    <t>Sales Stages</t>
  </si>
  <si>
    <t>Breakdown of each sales stage in the pipeline — what qualifies a deal to move forward and what each stage means for the SDR.</t>
  </si>
  <si>
    <t>Prospecting</t>
  </si>
  <si>
    <t>Best practices prospecting our ideal customer using Apollo, Linkedin Sales Nav, and Prospeo.</t>
  </si>
  <si>
    <t>First name</t>
  </si>
  <si>
    <t>Last name</t>
  </si>
  <si>
    <t>Original Hire Date</t>
  </si>
  <si>
    <t>February End</t>
  </si>
  <si>
    <t>No of days at Loop</t>
  </si>
  <si>
    <t>Ramp multiplier</t>
  </si>
  <si>
    <t>Quota</t>
  </si>
  <si>
    <t>Marrero</t>
  </si>
  <si>
    <t>Jeffrey</t>
  </si>
  <si>
    <t>Lutz</t>
  </si>
  <si>
    <t>Eric</t>
  </si>
  <si>
    <t>Azaren</t>
  </si>
  <si>
    <t>Matthew</t>
  </si>
  <si>
    <t>Bullock</t>
  </si>
  <si>
    <t>Daniel</t>
  </si>
  <si>
    <t>Varela</t>
  </si>
  <si>
    <t>Schwartzberg</t>
  </si>
  <si>
    <t>Salomon</t>
  </si>
  <si>
    <t>Jessy</t>
  </si>
  <si>
    <t>Calderon</t>
  </si>
  <si>
    <t>Robert</t>
  </si>
  <si>
    <t>Ludwick</t>
  </si>
  <si>
    <t>Roberto</t>
  </si>
  <si>
    <t>Reyes</t>
  </si>
  <si>
    <t>Chavious</t>
  </si>
  <si>
    <t>Clayton</t>
  </si>
  <si>
    <t>Arvizu</t>
  </si>
  <si>
    <t>Carlton</t>
  </si>
  <si>
    <t>Ekiyor</t>
  </si>
  <si>
    <t>Herlich</t>
  </si>
  <si>
    <t>Nicholas</t>
  </si>
  <si>
    <t>Barbo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</si>
</sst>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"/>
    <numFmt numFmtId="165" formatCode="&quot;$&quot;#,##0"/>
    <numFmt numFmtId="166" formatCode="0.0"/>
    <numFmt numFmtId="167" formatCode="M/d/yyyy"/>
    <numFmt numFmtId="168" formatCode="yyyy-mm-dd"/>
  </numFmts>
  <fonts count="49">
    <font>
      <sz val="10.0"/>
      <color rgb="FF000000"/>
      <name val="Arial"/>
      <scheme val="minor"/>
    </font>
    <font>
      <b/>
      <sz val="18.0"/>
      <color rgb="FFF3F3F3"/>
      <name val="Inter Tight"/>
    </font>
    <font/>
    <font>
      <b/>
      <sz val="18.0"/>
      <color rgb="FFFFFFFF"/>
      <name val="Arial"/>
      <scheme val="minor"/>
    </font>
    <font>
      <color theme="1"/>
      <name val="Arial"/>
    </font>
    <font>
      <color rgb="FFFFFFFF"/>
      <name val="Arial"/>
    </font>
    <font>
      <b/>
      <sz val="12.0"/>
      <color rgb="FFFFFFFF"/>
      <name val="Inter Tight"/>
    </font>
    <font>
      <b/>
      <color rgb="FFFFFFFF"/>
      <name val="Arial"/>
    </font>
    <font>
      <b/>
      <color rgb="FFFFFFFF"/>
      <name val="Arial"/>
      <scheme val="minor"/>
    </font>
    <font>
      <u/>
      <color theme="1"/>
      <name val="Arial"/>
    </font>
    <font>
      <color theme="1"/>
      <name val="Arial"/>
      <scheme val="minor"/>
    </font>
    <font>
      <u/>
      <color theme="1"/>
      <name val="Arial"/>
    </font>
    <font>
      <u/>
      <color theme="1"/>
      <name val="Arial"/>
      <scheme val="minor"/>
    </font>
    <font>
      <u/>
      <color theme="1"/>
      <name val="Arial"/>
    </font>
    <font>
      <u/>
      <color theme="1"/>
      <name val="Arial"/>
    </font>
    <font>
      <color theme="1"/>
      <name val="Inter Tight"/>
    </font>
    <font>
      <u/>
      <color theme="1"/>
      <name val="Arial"/>
      <scheme val="minor"/>
    </font>
    <font>
      <u/>
      <color theme="1"/>
      <name val="Inter Tight"/>
    </font>
    <font>
      <u/>
      <color theme="1"/>
      <name val="Arial"/>
      <scheme val="minor"/>
    </font>
    <font>
      <b/>
      <sz val="18.0"/>
      <color rgb="FF000000"/>
      <name val="Inter Tight"/>
    </font>
    <font>
      <color rgb="FF000000"/>
      <name val="Arial"/>
    </font>
    <font>
      <color rgb="FF000000"/>
      <name val="Arial"/>
      <scheme val="minor"/>
    </font>
    <font>
      <b/>
      <sz val="12.0"/>
      <color theme="1"/>
      <name val="Arial"/>
    </font>
    <font>
      <b/>
      <i/>
      <color theme="1"/>
      <name val="Arial"/>
    </font>
    <font>
      <u/>
      <color theme="1"/>
      <name val="Arial"/>
    </font>
    <font>
      <color rgb="FFFF0000"/>
      <name val="Arial"/>
    </font>
    <font>
      <u/>
      <color theme="1"/>
      <name val="Arial"/>
    </font>
    <font>
      <color rgb="FF1F1F1F"/>
      <name val="Google Sans Mono"/>
    </font>
    <font>
      <i/>
      <color theme="1"/>
      <name val="Arial"/>
    </font>
    <font>
      <color theme="7"/>
      <name val="Arial"/>
    </font>
    <font>
      <color rgb="FF34A853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1D1C1D"/>
    </font>
    <font>
      <u/>
      <color rgb="FF0000FF"/>
      <name val="Arial"/>
    </font>
    <font>
      <u/>
      <color theme="1"/>
      <name val="Arial"/>
    </font>
    <font>
      <u/>
      <sz val="10.0"/>
      <color rgb="FF0000FF"/>
      <name val="Arial"/>
    </font>
    <font>
      <sz val="10.0"/>
      <color theme="1"/>
      <name val="Arial"/>
    </font>
    <font>
      <u/>
      <sz val="10.0"/>
      <color rgb="FF0000FF"/>
      <name val="Roboto"/>
    </font>
    <font>
      <u/>
      <color rgb="FF0000FF"/>
    </font>
    <font>
      <b/>
      <color theme="1"/>
      <name val="Arial"/>
      <scheme val="minor"/>
    </font>
    <font>
      <u/>
      <color theme="1"/>
      <name val="Arial"/>
      <scheme val="minor"/>
    </font>
    <font>
      <b/>
      <sz val="14.0"/>
      <color theme="1"/>
      <name val="Sora"/>
    </font>
    <font>
      <b/>
      <sz val="11.0"/>
      <color theme="1"/>
      <name val="Sora"/>
    </font>
    <font>
      <b/>
      <sz val="13.0"/>
      <color theme="1"/>
      <name val="Sora"/>
    </font>
    <font>
      <b/>
      <color theme="1"/>
      <name val="Sora"/>
    </font>
    <font>
      <sz val="9.0"/>
      <color theme="1"/>
      <name val="Sora"/>
    </font>
    <font>
      <b/>
      <color rgb="FF1D1C1D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0F4F9"/>
        <bgColor rgb="FFF0F4F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2F2F2"/>
        <bgColor rgb="FFF2F2F2"/>
      </patternFill>
    </fill>
  </fills>
  <borders count="17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bottom style="medium">
        <color rgb="FF666666"/>
      </bottom>
    </border>
    <border>
      <left style="thin">
        <color rgb="FF000000"/>
      </left>
      <bottom style="medium">
        <color rgb="FF666666"/>
      </bottom>
    </border>
    <border>
      <right style="thin">
        <color rgb="FF000000"/>
      </right>
      <bottom style="medium">
        <color rgb="FF666666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1C1C1"/>
      </left>
      <right style="thin">
        <color rgb="FFC1C1C1"/>
      </right>
      <top style="thin">
        <color rgb="FFC1C1C1"/>
      </top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2" fontId="1" numFmtId="0" xfId="0" applyAlignment="1" applyBorder="1" applyFont="1">
      <alignment readingOrder="0" shrinkToFit="0" vertical="bottom" wrapText="1"/>
    </xf>
    <xf borderId="1" fillId="0" fontId="2" numFmtId="0" xfId="0" applyBorder="1" applyFont="1"/>
    <xf borderId="3" fillId="0" fontId="2" numFmtId="0" xfId="0" applyBorder="1" applyFont="1"/>
    <xf borderId="2" fillId="2" fontId="1" numFmtId="0" xfId="0" applyAlignment="1" applyBorder="1" applyFont="1">
      <alignment horizontal="left" readingOrder="0" shrinkToFit="0" vertical="bottom" wrapText="1"/>
    </xf>
    <xf borderId="0" fillId="2" fontId="3" numFmtId="0" xfId="0" applyAlignment="1" applyFont="1">
      <alignment readingOrder="0"/>
    </xf>
    <xf borderId="0" fillId="0" fontId="4" numFmtId="0" xfId="0" applyAlignment="1" applyFont="1">
      <alignment vertical="bottom"/>
    </xf>
    <xf borderId="1" fillId="3" fontId="5" numFmtId="0" xfId="0" applyAlignment="1" applyBorder="1" applyFill="1" applyFont="1">
      <alignment readingOrder="0" vertical="bottom"/>
    </xf>
    <xf borderId="2" fillId="3" fontId="6" numFmtId="0" xfId="0" applyAlignment="1" applyBorder="1" applyFont="1">
      <alignment readingOrder="0" shrinkToFit="0" vertical="bottom" wrapText="1"/>
    </xf>
    <xf borderId="4" fillId="4" fontId="7" numFmtId="0" xfId="0" applyAlignment="1" applyBorder="1" applyFill="1" applyFont="1">
      <alignment vertical="bottom"/>
    </xf>
    <xf borderId="4" fillId="4" fontId="8" numFmtId="0" xfId="0" applyAlignment="1" applyBorder="1" applyFont="1">
      <alignment readingOrder="0"/>
    </xf>
    <xf borderId="2" fillId="0" fontId="9" numFmtId="0" xfId="0" applyAlignment="1" applyBorder="1" applyFont="1">
      <alignment readingOrder="0" vertical="bottom"/>
    </xf>
    <xf borderId="0" fillId="0" fontId="10" numFmtId="0" xfId="0" applyFont="1"/>
    <xf borderId="4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vertical="bottom"/>
    </xf>
    <xf borderId="4" fillId="0" fontId="10" numFmtId="0" xfId="0" applyAlignment="1" applyBorder="1" applyFont="1">
      <alignment readingOrder="0"/>
    </xf>
    <xf borderId="4" fillId="0" fontId="10" numFmtId="0" xfId="0" applyBorder="1" applyFont="1"/>
    <xf borderId="0" fillId="0" fontId="11" numFmtId="0" xfId="0" applyAlignment="1" applyFont="1">
      <alignment readingOrder="0" vertical="bottom"/>
    </xf>
    <xf borderId="2" fillId="0" fontId="10" numFmtId="0" xfId="0" applyAlignment="1" applyBorder="1" applyFont="1">
      <alignment readingOrder="0"/>
    </xf>
    <xf borderId="2" fillId="0" fontId="10" numFmtId="0" xfId="0" applyBorder="1" applyFont="1"/>
    <xf borderId="4" fillId="0" fontId="10" numFmtId="164" xfId="0" applyBorder="1" applyFont="1" applyNumberFormat="1"/>
    <xf borderId="2" fillId="0" fontId="12" numFmtId="0" xfId="0" applyAlignment="1" applyBorder="1" applyFont="1">
      <alignment readingOrder="0"/>
    </xf>
    <xf borderId="4" fillId="0" fontId="4" numFmtId="164" xfId="0" applyAlignment="1" applyBorder="1" applyFont="1" applyNumberFormat="1">
      <alignment horizontal="right" readingOrder="0" vertical="bottom"/>
    </xf>
    <xf borderId="4" fillId="0" fontId="4" numFmtId="0" xfId="0" applyAlignment="1" applyBorder="1" applyFont="1">
      <alignment horizontal="right" vertical="bottom"/>
    </xf>
    <xf borderId="0" fillId="0" fontId="10" numFmtId="0" xfId="0" applyAlignment="1" applyFont="1">
      <alignment readingOrder="0"/>
    </xf>
    <xf borderId="4" fillId="0" fontId="13" numFmtId="0" xfId="0" applyAlignment="1" applyBorder="1" applyFont="1">
      <alignment readingOrder="0" vertical="bottom"/>
    </xf>
    <xf borderId="4" fillId="0" fontId="14" numFmtId="0" xfId="0" applyAlignment="1" applyBorder="1" applyFont="1">
      <alignment horizontal="left" readingOrder="0" vertical="bottom"/>
    </xf>
    <xf borderId="4" fillId="0" fontId="15" numFmtId="164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4" fillId="0" fontId="4" numFmtId="164" xfId="0" applyAlignment="1" applyBorder="1" applyFont="1" applyNumberFormat="1">
      <alignment readingOrder="0" vertical="bottom"/>
    </xf>
    <xf borderId="4" fillId="0" fontId="16" numFmtId="0" xfId="0" applyAlignment="1" applyBorder="1" applyFont="1">
      <alignment readingOrder="0"/>
    </xf>
    <xf borderId="4" fillId="0" fontId="17" numFmtId="0" xfId="0" applyAlignment="1" applyBorder="1" applyFont="1">
      <alignment horizontal="left" readingOrder="0" vertical="bottom"/>
    </xf>
    <xf borderId="4" fillId="0" fontId="15" numFmtId="0" xfId="0" applyAlignment="1" applyBorder="1" applyFont="1">
      <alignment horizontal="center" readingOrder="0" vertical="bottom"/>
    </xf>
    <xf borderId="4" fillId="0" fontId="4" numFmtId="9" xfId="0" applyAlignment="1" applyBorder="1" applyFont="1" applyNumberFormat="1">
      <alignment readingOrder="0" vertical="bottom"/>
    </xf>
    <xf borderId="4" fillId="0" fontId="15" numFmtId="0" xfId="0" applyAlignment="1" applyBorder="1" applyFont="1">
      <alignment horizontal="center" vertical="bottom"/>
    </xf>
    <xf borderId="0" fillId="0" fontId="18" numFmtId="0" xfId="0" applyAlignment="1" applyFont="1">
      <alignment readingOrder="0"/>
    </xf>
    <xf borderId="4" fillId="5" fontId="19" numFmtId="0" xfId="0" applyAlignment="1" applyBorder="1" applyFill="1" applyFont="1">
      <alignment readingOrder="0" shrinkToFit="0" vertical="bottom" wrapText="1"/>
    </xf>
    <xf borderId="2" fillId="5" fontId="19" numFmtId="0" xfId="0" applyAlignment="1" applyBorder="1" applyFont="1">
      <alignment readingOrder="0" shrinkToFit="0" vertical="bottom" wrapText="1"/>
    </xf>
    <xf borderId="2" fillId="5" fontId="19" numFmtId="0" xfId="0" applyAlignment="1" applyBorder="1" applyFont="1">
      <alignment horizontal="left" readingOrder="0" shrinkToFit="0" vertical="bottom" wrapText="1"/>
    </xf>
    <xf borderId="4" fillId="5" fontId="20" numFmtId="0" xfId="0" applyAlignment="1" applyBorder="1" applyFont="1">
      <alignment vertical="bottom"/>
    </xf>
    <xf borderId="4" fillId="5" fontId="21" numFmtId="0" xfId="0" applyBorder="1" applyFont="1"/>
    <xf borderId="4" fillId="3" fontId="5" numFmtId="0" xfId="0" applyAlignment="1" applyBorder="1" applyFont="1">
      <alignment horizontal="left" readingOrder="0" vertical="bottom"/>
    </xf>
    <xf borderId="4" fillId="0" fontId="10" numFmtId="0" xfId="0" applyAlignment="1" applyBorder="1" applyFont="1">
      <alignment horizontal="left"/>
    </xf>
    <xf borderId="4" fillId="0" fontId="10" numFmtId="164" xfId="0" applyAlignment="1" applyBorder="1" applyFont="1" applyNumberFormat="1">
      <alignment readingOrder="0"/>
    </xf>
    <xf borderId="4" fillId="6" fontId="10" numFmtId="0" xfId="0" applyAlignment="1" applyBorder="1" applyFill="1" applyFont="1">
      <alignment readingOrder="0"/>
    </xf>
    <xf borderId="4" fillId="6" fontId="10" numFmtId="164" xfId="0" applyAlignment="1" applyBorder="1" applyFont="1" applyNumberFormat="1">
      <alignment readingOrder="0"/>
    </xf>
    <xf borderId="4" fillId="7" fontId="10" numFmtId="0" xfId="0" applyAlignment="1" applyBorder="1" applyFill="1" applyFont="1">
      <alignment horizontal="center" readingOrder="0"/>
    </xf>
    <xf borderId="4" fillId="7" fontId="10" numFmtId="165" xfId="0" applyAlignment="1" applyBorder="1" applyFont="1" applyNumberFormat="1">
      <alignment horizontal="center" readingOrder="0"/>
    </xf>
    <xf borderId="4" fillId="6" fontId="10" numFmtId="0" xfId="0" applyAlignment="1" applyBorder="1" applyFont="1">
      <alignment horizontal="center" readingOrder="0"/>
    </xf>
    <xf borderId="4" fillId="6" fontId="10" numFmtId="165" xfId="0" applyAlignment="1" applyBorder="1" applyFont="1" applyNumberFormat="1">
      <alignment horizontal="center" readingOrder="0"/>
    </xf>
    <xf borderId="4" fillId="0" fontId="10" numFmtId="164" xfId="0" applyAlignment="1" applyBorder="1" applyFont="1" applyNumberFormat="1">
      <alignment horizontal="right" readingOrder="0"/>
    </xf>
    <xf borderId="4" fillId="0" fontId="10" numFmtId="0" xfId="0" applyAlignment="1" applyBorder="1" applyFont="1">
      <alignment horizontal="center" readingOrder="0"/>
    </xf>
    <xf borderId="4" fillId="0" fontId="10" numFmtId="165" xfId="0" applyAlignment="1" applyBorder="1" applyFont="1" applyNumberFormat="1">
      <alignment horizontal="center" readingOrder="0"/>
    </xf>
    <xf borderId="0" fillId="0" fontId="22" numFmtId="0" xfId="0" applyAlignment="1" applyFont="1">
      <alignment readingOrder="0" vertical="bottom"/>
    </xf>
    <xf borderId="0" fillId="0" fontId="23" numFmtId="0" xfId="0" applyAlignment="1" applyFont="1">
      <alignment vertical="bottom"/>
    </xf>
    <xf borderId="0" fillId="8" fontId="7" numFmtId="0" xfId="0" applyAlignment="1" applyFill="1" applyFont="1">
      <alignment shrinkToFit="0" vertical="bottom" wrapText="1"/>
    </xf>
    <xf borderId="0" fillId="8" fontId="7" numFmtId="0" xfId="0" applyAlignment="1" applyFont="1">
      <alignment horizontal="center" shrinkToFit="0" vertical="bottom" wrapText="1"/>
    </xf>
    <xf borderId="5" fillId="9" fontId="7" numFmtId="0" xfId="0" applyAlignment="1" applyBorder="1" applyFill="1" applyFont="1">
      <alignment horizontal="center" shrinkToFit="0" vertical="bottom" wrapText="1"/>
    </xf>
    <xf borderId="6" fillId="9" fontId="7" numFmtId="0" xfId="0" applyAlignment="1" applyBorder="1" applyFont="1">
      <alignment horizontal="center" shrinkToFit="0" vertical="bottom" wrapText="1"/>
    </xf>
    <xf borderId="7" fillId="9" fontId="7" numFmtId="0" xfId="0" applyAlignment="1" applyBorder="1" applyFont="1">
      <alignment horizontal="center" shrinkToFit="0" vertical="bottom" wrapText="1"/>
    </xf>
    <xf borderId="6" fillId="8" fontId="7" numFmtId="0" xfId="0" applyAlignment="1" applyBorder="1" applyFont="1">
      <alignment horizontal="center" shrinkToFit="0" vertical="bottom" wrapText="1"/>
    </xf>
    <xf borderId="5" fillId="10" fontId="7" numFmtId="0" xfId="0" applyAlignment="1" applyBorder="1" applyFill="1" applyFont="1">
      <alignment horizontal="center" shrinkToFit="0" vertical="bottom" wrapText="1"/>
    </xf>
    <xf borderId="6" fillId="10" fontId="7" numFmtId="0" xfId="0" applyAlignment="1" applyBorder="1" applyFont="1">
      <alignment horizontal="center" shrinkToFit="0" vertical="bottom" wrapText="1"/>
    </xf>
    <xf borderId="7" fillId="10" fontId="7" numFmtId="0" xfId="0" applyAlignment="1" applyBorder="1" applyFont="1">
      <alignment horizontal="center" shrinkToFit="0" vertical="bottom" wrapText="1"/>
    </xf>
    <xf borderId="0" fillId="11" fontId="24" numFmtId="0" xfId="0" applyAlignment="1" applyFill="1" applyFont="1">
      <alignment vertical="bottom"/>
    </xf>
    <xf borderId="0" fillId="11" fontId="15" numFmtId="164" xfId="0" applyAlignment="1" applyFont="1" applyNumberFormat="1">
      <alignment horizontal="right" vertical="bottom"/>
    </xf>
    <xf borderId="5" fillId="11" fontId="4" numFmtId="165" xfId="0" applyAlignment="1" applyBorder="1" applyFont="1" applyNumberFormat="1">
      <alignment horizontal="center" vertical="bottom"/>
    </xf>
    <xf borderId="6" fillId="11" fontId="4" numFmtId="165" xfId="0" applyAlignment="1" applyBorder="1" applyFont="1" applyNumberFormat="1">
      <alignment horizontal="center" vertical="bottom"/>
    </xf>
    <xf borderId="7" fillId="11" fontId="4" numFmtId="10" xfId="0" applyAlignment="1" applyBorder="1" applyFont="1" applyNumberFormat="1">
      <alignment horizontal="center" vertical="bottom"/>
    </xf>
    <xf borderId="0" fillId="11" fontId="4" numFmtId="165" xfId="0" applyAlignment="1" applyFont="1" applyNumberFormat="1">
      <alignment horizontal="right" vertical="bottom"/>
    </xf>
    <xf borderId="0" fillId="11" fontId="25" numFmtId="165" xfId="0" applyAlignment="1" applyFont="1" applyNumberFormat="1">
      <alignment horizontal="right" vertical="bottom"/>
    </xf>
    <xf borderId="0" fillId="11" fontId="4" numFmtId="165" xfId="0" applyAlignment="1" applyFont="1" applyNumberFormat="1">
      <alignment vertical="bottom"/>
    </xf>
    <xf borderId="8" fillId="11" fontId="4" numFmtId="10" xfId="0" applyAlignment="1" applyBorder="1" applyFont="1" applyNumberFormat="1">
      <alignment horizontal="center" vertical="bottom"/>
    </xf>
    <xf borderId="0" fillId="12" fontId="26" numFmtId="0" xfId="0" applyAlignment="1" applyFill="1" applyFont="1">
      <alignment vertical="bottom"/>
    </xf>
    <xf borderId="0" fillId="12" fontId="4" numFmtId="164" xfId="0" applyAlignment="1" applyFont="1" applyNumberFormat="1">
      <alignment horizontal="right" vertical="bottom"/>
    </xf>
    <xf borderId="9" fillId="12" fontId="4" numFmtId="165" xfId="0" applyAlignment="1" applyBorder="1" applyFont="1" applyNumberFormat="1">
      <alignment horizontal="center" vertical="bottom"/>
    </xf>
    <xf borderId="0" fillId="12" fontId="4" numFmtId="165" xfId="0" applyAlignment="1" applyFont="1" applyNumberFormat="1">
      <alignment horizontal="center" vertical="bottom"/>
    </xf>
    <xf borderId="8" fillId="12" fontId="4" numFmtId="10" xfId="0" applyAlignment="1" applyBorder="1" applyFont="1" applyNumberFormat="1">
      <alignment horizontal="center" vertical="bottom"/>
    </xf>
    <xf borderId="0" fillId="12" fontId="4" numFmtId="165" xfId="0" applyAlignment="1" applyFont="1" applyNumberFormat="1">
      <alignment vertical="bottom"/>
    </xf>
    <xf borderId="0" fillId="12" fontId="25" numFmtId="165" xfId="0" applyAlignment="1" applyFont="1" applyNumberFormat="1">
      <alignment horizontal="right" vertical="bottom"/>
    </xf>
    <xf borderId="0" fillId="11" fontId="4" numFmtId="165" xfId="0" applyAlignment="1" applyFont="1" applyNumberFormat="1">
      <alignment readingOrder="0" vertical="bottom"/>
    </xf>
    <xf borderId="0" fillId="11" fontId="4" numFmtId="164" xfId="0" applyAlignment="1" applyFont="1" applyNumberFormat="1">
      <alignment horizontal="right" vertical="bottom"/>
    </xf>
    <xf borderId="9" fillId="11" fontId="4" numFmtId="165" xfId="0" applyAlignment="1" applyBorder="1" applyFont="1" applyNumberFormat="1">
      <alignment horizontal="center" vertical="bottom"/>
    </xf>
    <xf borderId="0" fillId="11" fontId="4" numFmtId="165" xfId="0" applyAlignment="1" applyFont="1" applyNumberFormat="1">
      <alignment horizontal="center" vertical="bottom"/>
    </xf>
    <xf borderId="0" fillId="12" fontId="4" numFmtId="165" xfId="0" applyAlignment="1" applyFont="1" applyNumberFormat="1">
      <alignment horizontal="center" readingOrder="0" vertical="bottom"/>
    </xf>
    <xf borderId="0" fillId="12" fontId="4" numFmtId="165" xfId="0" applyAlignment="1" applyFont="1" applyNumberFormat="1">
      <alignment horizontal="right" vertical="bottom"/>
    </xf>
    <xf borderId="9" fillId="0" fontId="10" numFmtId="165" xfId="0" applyAlignment="1" applyBorder="1" applyFont="1" applyNumberFormat="1">
      <alignment horizontal="center" readingOrder="0"/>
    </xf>
    <xf borderId="0" fillId="11" fontId="4" numFmtId="165" xfId="0" applyAlignment="1" applyFont="1" applyNumberFormat="1">
      <alignment horizontal="center" readingOrder="0" vertical="bottom"/>
    </xf>
    <xf borderId="8" fillId="11" fontId="4" numFmtId="165" xfId="0" applyAlignment="1" applyBorder="1" applyFont="1" applyNumberFormat="1">
      <alignment horizontal="center" readingOrder="0" vertical="bottom"/>
    </xf>
    <xf borderId="10" fillId="12" fontId="4" numFmtId="0" xfId="0" applyAlignment="1" applyBorder="1" applyFont="1">
      <alignment vertical="bottom"/>
    </xf>
    <xf borderId="10" fillId="12" fontId="4" numFmtId="165" xfId="0" applyAlignment="1" applyBorder="1" applyFont="1" applyNumberFormat="1">
      <alignment vertical="bottom"/>
    </xf>
    <xf borderId="11" fillId="12" fontId="4" numFmtId="165" xfId="0" applyAlignment="1" applyBorder="1" applyFont="1" applyNumberFormat="1">
      <alignment vertical="bottom"/>
    </xf>
    <xf borderId="12" fillId="12" fontId="4" numFmtId="0" xfId="0" applyAlignment="1" applyBorder="1" applyFont="1">
      <alignment vertical="bottom"/>
    </xf>
    <xf borderId="10" fillId="12" fontId="25" numFmtId="165" xfId="0" applyAlignment="1" applyBorder="1" applyFont="1" applyNumberFormat="1">
      <alignment vertical="bottom"/>
    </xf>
    <xf borderId="0" fillId="0" fontId="4" numFmtId="165" xfId="0" applyAlignment="1" applyFont="1" applyNumberFormat="1">
      <alignment vertical="bottom"/>
    </xf>
    <xf borderId="9" fillId="0" fontId="4" numFmtId="165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vertical="bottom"/>
    </xf>
    <xf borderId="0" fillId="0" fontId="4" numFmtId="165" xfId="0" applyAlignment="1" applyFont="1" applyNumberFormat="1">
      <alignment horizontal="right" vertical="bottom"/>
    </xf>
    <xf borderId="9" fillId="13" fontId="4" numFmtId="165" xfId="0" applyAlignment="1" applyBorder="1" applyFill="1" applyFont="1" applyNumberFormat="1">
      <alignment horizontal="right" vertical="bottom"/>
    </xf>
    <xf borderId="0" fillId="0" fontId="4" numFmtId="166" xfId="0" applyAlignment="1" applyFont="1" applyNumberFormat="1">
      <alignment vertical="bottom"/>
    </xf>
    <xf borderId="13" fillId="0" fontId="4" numFmtId="166" xfId="0" applyAlignment="1" applyBorder="1" applyFont="1" applyNumberFormat="1">
      <alignment vertical="bottom"/>
    </xf>
    <xf borderId="14" fillId="0" fontId="4" numFmtId="0" xfId="0" applyAlignment="1" applyBorder="1" applyFont="1">
      <alignment vertical="bottom"/>
    </xf>
    <xf borderId="15" fillId="14" fontId="27" numFmtId="10" xfId="0" applyAlignment="1" applyBorder="1" applyFill="1" applyFont="1" applyNumberFormat="1">
      <alignment horizontal="right" vertical="bottom"/>
    </xf>
    <xf borderId="14" fillId="0" fontId="4" numFmtId="166" xfId="0" applyAlignment="1" applyBorder="1" applyFont="1" applyNumberFormat="1">
      <alignment vertical="bottom"/>
    </xf>
    <xf borderId="0" fillId="0" fontId="28" numFmtId="0" xfId="0" applyAlignment="1" applyFont="1">
      <alignment vertical="bottom"/>
    </xf>
    <xf borderId="0" fillId="8" fontId="7" numFmtId="0" xfId="0" applyAlignment="1" applyFont="1">
      <alignment horizontal="center" readingOrder="0" shrinkToFit="0" vertical="bottom" wrapText="1"/>
    </xf>
    <xf borderId="0" fillId="11" fontId="4" numFmtId="167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167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12" fontId="4" numFmtId="167" xfId="0" applyAlignment="1" applyFont="1" applyNumberFormat="1">
      <alignment horizontal="right" readingOrder="0" vertical="bottom"/>
    </xf>
    <xf borderId="0" fillId="11" fontId="4" numFmtId="167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12" fontId="4" numFmtId="167" xfId="0" applyAlignment="1" applyFont="1" applyNumberFormat="1">
      <alignment horizontal="right" vertical="bottom"/>
    </xf>
    <xf borderId="10" fillId="12" fontId="4" numFmtId="167" xfId="0" applyAlignment="1" applyBorder="1" applyFont="1" applyNumberFormat="1">
      <alignment vertical="bottom"/>
    </xf>
    <xf borderId="0" fillId="12" fontId="4" numFmtId="0" xfId="0" applyAlignment="1" applyFont="1">
      <alignment vertical="bottom"/>
    </xf>
    <xf borderId="0" fillId="12" fontId="4" numFmtId="167" xfId="0" applyAlignment="1" applyFont="1" applyNumberFormat="1">
      <alignment vertical="bottom"/>
    </xf>
    <xf borderId="0" fillId="8" fontId="4" numFmtId="0" xfId="0" applyAlignment="1" applyFont="1">
      <alignment vertical="bottom"/>
    </xf>
    <xf borderId="0" fillId="11" fontId="4" numFmtId="0" xfId="0" applyAlignment="1" applyFont="1">
      <alignment vertical="bottom"/>
    </xf>
    <xf borderId="0" fillId="11" fontId="4" numFmtId="0" xfId="0" applyAlignment="1" applyFont="1">
      <alignment readingOrder="0" vertical="bottom"/>
    </xf>
    <xf borderId="0" fillId="11" fontId="4" numFmtId="164" xfId="0" applyAlignment="1" applyFont="1" applyNumberFormat="1">
      <alignment readingOrder="0" vertical="bottom"/>
    </xf>
    <xf borderId="0" fillId="11" fontId="25" numFmtId="164" xfId="0" applyAlignment="1" applyFont="1" applyNumberFormat="1">
      <alignment vertical="bottom"/>
    </xf>
    <xf borderId="0" fillId="11" fontId="25" numFmtId="164" xfId="0" applyAlignment="1" applyFont="1" applyNumberFormat="1">
      <alignment readingOrder="0" vertical="bottom"/>
    </xf>
    <xf borderId="0" fillId="11" fontId="4" numFmtId="167" xfId="0" applyAlignment="1" applyFont="1" applyNumberFormat="1">
      <alignment vertical="bottom"/>
    </xf>
    <xf borderId="0" fillId="12" fontId="4" numFmtId="0" xfId="0" applyAlignment="1" applyFont="1">
      <alignment readingOrder="0" vertical="bottom"/>
    </xf>
    <xf borderId="0" fillId="11" fontId="29" numFmtId="164" xfId="0" applyAlignment="1" applyFont="1" applyNumberFormat="1">
      <alignment vertical="bottom"/>
    </xf>
    <xf borderId="0" fillId="12" fontId="4" numFmtId="164" xfId="0" applyAlignment="1" applyFont="1" applyNumberFormat="1">
      <alignment readingOrder="0" vertical="bottom"/>
    </xf>
    <xf borderId="0" fillId="12" fontId="29" numFmtId="164" xfId="0" applyAlignment="1" applyFont="1" applyNumberFormat="1">
      <alignment readingOrder="0" vertical="bottom"/>
    </xf>
    <xf borderId="0" fillId="11" fontId="4" numFmtId="164" xfId="0" applyAlignment="1" applyFont="1" applyNumberFormat="1">
      <alignment vertical="bottom"/>
    </xf>
    <xf borderId="0" fillId="11" fontId="30" numFmtId="164" xfId="0" applyAlignment="1" applyFont="1" applyNumberFormat="1">
      <alignment readingOrder="0" vertical="bottom"/>
    </xf>
    <xf borderId="0" fillId="11" fontId="29" numFmtId="164" xfId="0" applyAlignment="1" applyFont="1" applyNumberFormat="1">
      <alignment readingOrder="0" vertical="bottom"/>
    </xf>
    <xf borderId="10" fillId="11" fontId="4" numFmtId="0" xfId="0" applyAlignment="1" applyBorder="1" applyFont="1">
      <alignment vertical="bottom"/>
    </xf>
    <xf borderId="1" fillId="3" fontId="5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  <xf borderId="4" fillId="0" fontId="31" numFmtId="0" xfId="0" applyAlignment="1" applyBorder="1" applyFont="1">
      <alignment horizontal="left" readingOrder="0"/>
    </xf>
    <xf borderId="4" fillId="0" fontId="32" numFmtId="0" xfId="0" applyAlignment="1" applyBorder="1" applyFont="1">
      <alignment horizontal="left" readingOrder="0"/>
    </xf>
    <xf borderId="4" fillId="0" fontId="4" numFmtId="0" xfId="0" applyAlignment="1" applyBorder="1" applyFont="1">
      <alignment horizontal="left" readingOrder="0" vertical="bottom"/>
    </xf>
    <xf borderId="0" fillId="0" fontId="33" numFmtId="0" xfId="0" applyAlignment="1" applyFont="1">
      <alignment horizontal="left" readingOrder="0"/>
    </xf>
    <xf borderId="4" fillId="0" fontId="4" numFmtId="9" xfId="0" applyAlignment="1" applyBorder="1" applyFont="1" applyNumberFormat="1">
      <alignment horizontal="left" readingOrder="0" vertical="bottom"/>
    </xf>
    <xf borderId="4" fillId="0" fontId="4" numFmtId="0" xfId="0" applyAlignment="1" applyBorder="1" applyFont="1">
      <alignment horizontal="left" vertical="bottom"/>
    </xf>
    <xf borderId="4" fillId="0" fontId="34" numFmtId="0" xfId="0" applyAlignment="1" applyBorder="1" applyFont="1">
      <alignment horizontal="left" readingOrder="0"/>
    </xf>
    <xf borderId="4" fillId="0" fontId="35" numFmtId="0" xfId="0" applyAlignment="1" applyBorder="1" applyFont="1">
      <alignment horizontal="left" readingOrder="0" vertical="bottom"/>
    </xf>
    <xf borderId="4" fillId="0" fontId="36" numFmtId="0" xfId="0" applyAlignment="1" applyBorder="1" applyFont="1">
      <alignment readingOrder="0" vertical="bottom"/>
    </xf>
    <xf borderId="4" fillId="0" fontId="37" numFmtId="0" xfId="0" applyAlignment="1" applyBorder="1" applyFont="1">
      <alignment horizontal="left" readingOrder="0" vertical="bottom"/>
    </xf>
    <xf borderId="4" fillId="0" fontId="38" numFmtId="0" xfId="0" applyAlignment="1" applyBorder="1" applyFont="1">
      <alignment horizontal="left" readingOrder="0" vertical="bottom"/>
    </xf>
    <xf borderId="0" fillId="11" fontId="39" numFmtId="0" xfId="0" applyAlignment="1" applyFont="1">
      <alignment horizontal="left" readingOrder="0"/>
    </xf>
    <xf borderId="4" fillId="0" fontId="10" numFmtId="0" xfId="0" applyAlignment="1" applyBorder="1" applyFont="1">
      <alignment horizontal="left" readingOrder="0"/>
    </xf>
    <xf borderId="0" fillId="0" fontId="10" numFmtId="0" xfId="0" applyAlignment="1" applyFont="1">
      <alignment horizontal="left"/>
    </xf>
    <xf borderId="1" fillId="5" fontId="19" numFmtId="0" xfId="0" applyAlignment="1" applyBorder="1" applyFont="1">
      <alignment readingOrder="0" shrinkToFit="0" vertical="bottom" wrapText="1"/>
    </xf>
    <xf borderId="0" fillId="5" fontId="20" numFmtId="0" xfId="0" applyAlignment="1" applyFont="1">
      <alignment vertical="bottom"/>
    </xf>
    <xf borderId="0" fillId="5" fontId="21" numFmtId="0" xfId="0" applyFont="1"/>
    <xf borderId="1" fillId="3" fontId="5" numFmtId="0" xfId="0" applyAlignment="1" applyBorder="1" applyFont="1">
      <alignment horizontal="left" readingOrder="0" vertical="bottom"/>
    </xf>
    <xf borderId="0" fillId="0" fontId="40" numFmtId="0" xfId="0" applyAlignment="1" applyFont="1">
      <alignment readingOrder="0"/>
    </xf>
    <xf borderId="0" fillId="15" fontId="10" numFmtId="0" xfId="0" applyAlignment="1" applyFill="1" applyFont="1">
      <alignment readingOrder="0"/>
    </xf>
    <xf borderId="0" fillId="6" fontId="41" numFmtId="0" xfId="0" applyAlignment="1" applyFont="1">
      <alignment readingOrder="0"/>
    </xf>
    <xf borderId="0" fillId="6" fontId="41" numFmtId="164" xfId="0" applyAlignment="1" applyFont="1" applyNumberFormat="1">
      <alignment readingOrder="0"/>
    </xf>
    <xf borderId="0" fillId="0" fontId="42" numFmtId="0" xfId="0" applyAlignment="1" applyFont="1">
      <alignment readingOrder="0"/>
    </xf>
    <xf borderId="0" fillId="7" fontId="10" numFmtId="0" xfId="0" applyAlignment="1" applyFont="1">
      <alignment readingOrder="0"/>
    </xf>
    <xf borderId="0" fillId="16" fontId="10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0" fillId="5" fontId="43" numFmtId="0" xfId="0" applyFont="1"/>
    <xf borderId="0" fillId="5" fontId="4" numFmtId="0" xfId="0" applyFont="1"/>
    <xf borderId="0" fillId="0" fontId="4" numFmtId="0" xfId="0" applyFont="1"/>
    <xf borderId="16" fillId="0" fontId="4" numFmtId="0" xfId="0" applyBorder="1" applyFont="1"/>
    <xf borderId="4" fillId="17" fontId="4" numFmtId="0" xfId="0" applyBorder="1" applyFill="1" applyFont="1"/>
    <xf borderId="4" fillId="17" fontId="44" numFmtId="0" xfId="0" applyAlignment="1" applyBorder="1" applyFont="1">
      <alignment horizontal="center"/>
    </xf>
    <xf borderId="0" fillId="17" fontId="4" numFmtId="0" xfId="0" applyFont="1"/>
    <xf borderId="2" fillId="5" fontId="45" numFmtId="0" xfId="0" applyBorder="1" applyFont="1"/>
    <xf borderId="4" fillId="11" fontId="43" numFmtId="0" xfId="0" applyAlignment="1" applyBorder="1" applyFont="1">
      <alignment horizontal="center"/>
    </xf>
    <xf borderId="4" fillId="11" fontId="46" numFmtId="0" xfId="0" applyBorder="1" applyFont="1"/>
    <xf borderId="4" fillId="11" fontId="47" numFmtId="0" xfId="0" applyBorder="1" applyFont="1"/>
    <xf borderId="4" fillId="0" fontId="46" numFmtId="0" xfId="0" applyAlignment="1" applyBorder="1" applyFont="1">
      <alignment horizontal="center"/>
    </xf>
    <xf borderId="4" fillId="18" fontId="43" numFmtId="0" xfId="0" applyAlignment="1" applyBorder="1" applyFill="1" applyFont="1">
      <alignment horizontal="center"/>
    </xf>
    <xf borderId="4" fillId="18" fontId="46" numFmtId="0" xfId="0" applyBorder="1" applyFont="1"/>
    <xf borderId="4" fillId="18" fontId="47" numFmtId="0" xfId="0" applyBorder="1" applyFont="1"/>
    <xf borderId="0" fillId="0" fontId="48" numFmtId="0" xfId="0" applyAlignment="1" applyFont="1">
      <alignment readingOrder="0"/>
    </xf>
    <xf borderId="0" fillId="0" fontId="10" numFmtId="168" xfId="0" applyAlignment="1" applyFont="1" applyNumberFormat="1">
      <alignment readingOrder="0"/>
    </xf>
    <xf borderId="0" fillId="0" fontId="10" numFmtId="165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3" pivot="0" name="AE Ramping Rep Status-style">
      <tableStyleElement dxfId="1" type="headerRow"/>
      <tableStyleElement dxfId="2" type="firstRowStripe"/>
      <tableStyleElement dxfId="3" type="secondRowStripe"/>
    </tableStyle>
    <tableStyle count="3" pivot="0" name="AE Ramping Rep Status-style 2">
      <tableStyleElement dxfId="1" type="headerRow"/>
      <tableStyleElement dxfId="2" type="firstRowStripe"/>
      <tableStyleElement dxfId="3" type="secondRowStripe"/>
    </tableStyle>
    <tableStyle count="3" pivot="0" name="AE Ramping Rep Status-style 3">
      <tableStyleElement dxfId="1" type="headerRow"/>
      <tableStyleElement dxfId="2" type="firstRowStripe"/>
      <tableStyleElement dxfId="3" type="secondRowStripe"/>
    </tableStyle>
    <tableStyle count="3" pivot="0" name="AE Ramping Rep Status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O11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E Ramping Rep Statu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7:J25" displayName="Table_2" name="Table_2" id="2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E Ramping Rep Statu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L17:M25" displayName="Table_3" name="Table_3" id="3">
  <tableColumns count="2">
    <tableColumn name="Meetings Set" id="1"/>
    <tableColumn name="Meetings Held" id="2"/>
  </tableColumns>
  <tableStyleInfo name="AE Ramping Rep Statu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32:O44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E Ramping Rep Statu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taylor.ludwick@loopai.com" TargetMode="External"/><Relationship Id="rId42" Type="http://schemas.openxmlformats.org/officeDocument/2006/relationships/hyperlink" Target="mailto:alex@tryloop.ai" TargetMode="External"/><Relationship Id="rId41" Type="http://schemas.openxmlformats.org/officeDocument/2006/relationships/hyperlink" Target="mailto:charles@tryloop.ai" TargetMode="External"/><Relationship Id="rId44" Type="http://schemas.openxmlformats.org/officeDocument/2006/relationships/hyperlink" Target="mailto:charles@tryloop.ai" TargetMode="External"/><Relationship Id="rId43" Type="http://schemas.openxmlformats.org/officeDocument/2006/relationships/hyperlink" Target="mailto:clay@tryloop.ai" TargetMode="External"/><Relationship Id="rId46" Type="http://schemas.openxmlformats.org/officeDocument/2006/relationships/hyperlink" Target="mailto:dan.varela@tryloop.ai" TargetMode="External"/><Relationship Id="rId45" Type="http://schemas.openxmlformats.org/officeDocument/2006/relationships/hyperlink" Target="mailto:matt.bullock@tryloop.ai" TargetMode="External"/><Relationship Id="rId1" Type="http://schemas.openxmlformats.org/officeDocument/2006/relationships/hyperlink" Target="mailto:brad@tryloop.ai" TargetMode="External"/><Relationship Id="rId2" Type="http://schemas.openxmlformats.org/officeDocument/2006/relationships/hyperlink" Target="mailto:brian.sufalko@tryloop.ai" TargetMode="External"/><Relationship Id="rId3" Type="http://schemas.openxmlformats.org/officeDocument/2006/relationships/hyperlink" Target="mailto:nick.barbo@tryloop.ai" TargetMode="External"/><Relationship Id="rId4" Type="http://schemas.openxmlformats.org/officeDocument/2006/relationships/hyperlink" Target="mailto:nathan@tryloop.ai" TargetMode="External"/><Relationship Id="rId9" Type="http://schemas.openxmlformats.org/officeDocument/2006/relationships/hyperlink" Target="mailto:brian.sufalko@tryloop.ai" TargetMode="External"/><Relationship Id="rId48" Type="http://schemas.openxmlformats.org/officeDocument/2006/relationships/hyperlink" Target="mailto:simon@tryloop.ai" TargetMode="External"/><Relationship Id="rId47" Type="http://schemas.openxmlformats.org/officeDocument/2006/relationships/hyperlink" Target="mailto:charles@tryloop.ai" TargetMode="External"/><Relationship Id="rId49" Type="http://schemas.openxmlformats.org/officeDocument/2006/relationships/hyperlink" Target="mailto:matt.bullock@tryloop.ai" TargetMode="External"/><Relationship Id="rId5" Type="http://schemas.openxmlformats.org/officeDocument/2006/relationships/hyperlink" Target="mailto:tyrell@tryloop.ai" TargetMode="External"/><Relationship Id="rId6" Type="http://schemas.openxmlformats.org/officeDocument/2006/relationships/hyperlink" Target="mailto:brian.sufalko@tryloop.ai" TargetMode="External"/><Relationship Id="rId7" Type="http://schemas.openxmlformats.org/officeDocument/2006/relationships/hyperlink" Target="mailto:brian.sufalko@tryloop.ai" TargetMode="External"/><Relationship Id="rId8" Type="http://schemas.openxmlformats.org/officeDocument/2006/relationships/hyperlink" Target="mailto:brian.sufalko@tryloop.ai" TargetMode="External"/><Relationship Id="rId31" Type="http://schemas.openxmlformats.org/officeDocument/2006/relationships/hyperlink" Target="mailto:arthur@tryloop.ai" TargetMode="External"/><Relationship Id="rId30" Type="http://schemas.openxmlformats.org/officeDocument/2006/relationships/hyperlink" Target="mailto:charles@tryloop.ai" TargetMode="External"/><Relationship Id="rId33" Type="http://schemas.openxmlformats.org/officeDocument/2006/relationships/hyperlink" Target="mailto:arthur@tryloop.ai" TargetMode="External"/><Relationship Id="rId32" Type="http://schemas.openxmlformats.org/officeDocument/2006/relationships/hyperlink" Target="mailto:nathan@tryloop.ai" TargetMode="External"/><Relationship Id="rId35" Type="http://schemas.openxmlformats.org/officeDocument/2006/relationships/hyperlink" Target="mailto:arthur@tryloop.ai" TargetMode="External"/><Relationship Id="rId34" Type="http://schemas.openxmlformats.org/officeDocument/2006/relationships/hyperlink" Target="mailto:sarra@tryloop.ai" TargetMode="External"/><Relationship Id="rId37" Type="http://schemas.openxmlformats.org/officeDocument/2006/relationships/hyperlink" Target="mailto:arthur@tryloop.ai" TargetMode="External"/><Relationship Id="rId36" Type="http://schemas.openxmlformats.org/officeDocument/2006/relationships/hyperlink" Target="mailto:james@tryloop.ai" TargetMode="External"/><Relationship Id="rId39" Type="http://schemas.openxmlformats.org/officeDocument/2006/relationships/hyperlink" Target="mailto:arthur@tryloop.ai" TargetMode="External"/><Relationship Id="rId38" Type="http://schemas.openxmlformats.org/officeDocument/2006/relationships/hyperlink" Target="mailto:alexis@tryloop.ai" TargetMode="External"/><Relationship Id="rId62" Type="http://schemas.openxmlformats.org/officeDocument/2006/relationships/hyperlink" Target="mailto:nathan@tryloop.ai" TargetMode="External"/><Relationship Id="rId61" Type="http://schemas.openxmlformats.org/officeDocument/2006/relationships/hyperlink" Target="mailto:jeff@tryloop.ai" TargetMode="External"/><Relationship Id="rId20" Type="http://schemas.openxmlformats.org/officeDocument/2006/relationships/hyperlink" Target="mailto:brian.sufalko@tryloop.ai" TargetMode="External"/><Relationship Id="rId64" Type="http://schemas.openxmlformats.org/officeDocument/2006/relationships/hyperlink" Target="mailto:simon@tryloop.ai" TargetMode="External"/><Relationship Id="rId63" Type="http://schemas.openxmlformats.org/officeDocument/2006/relationships/hyperlink" Target="mailto:sarra@tryloop.ai" TargetMode="External"/><Relationship Id="rId22" Type="http://schemas.openxmlformats.org/officeDocument/2006/relationships/hyperlink" Target="mailto:brian.sufalko@tryloop.ai" TargetMode="External"/><Relationship Id="rId66" Type="http://schemas.openxmlformats.org/officeDocument/2006/relationships/hyperlink" Target="mailto:eric.azaren@loopai.com" TargetMode="External"/><Relationship Id="rId21" Type="http://schemas.openxmlformats.org/officeDocument/2006/relationships/hyperlink" Target="mailto:josue@tryloop.ai" TargetMode="External"/><Relationship Id="rId65" Type="http://schemas.openxmlformats.org/officeDocument/2006/relationships/hyperlink" Target="mailto:nathan@tryloop.ai" TargetMode="External"/><Relationship Id="rId24" Type="http://schemas.openxmlformats.org/officeDocument/2006/relationships/hyperlink" Target="mailto:brian.sufalko@tryloop.ai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mailto:olivia@tryloop.ai" TargetMode="External"/><Relationship Id="rId67" Type="http://schemas.openxmlformats.org/officeDocument/2006/relationships/hyperlink" Target="mailto:nathan@tryloop.ai" TargetMode="External"/><Relationship Id="rId60" Type="http://schemas.openxmlformats.org/officeDocument/2006/relationships/hyperlink" Target="mailto:alexis@tryloop.ai" TargetMode="External"/><Relationship Id="rId26" Type="http://schemas.openxmlformats.org/officeDocument/2006/relationships/hyperlink" Target="mailto:spencer@tryloop.ai" TargetMode="External"/><Relationship Id="rId25" Type="http://schemas.openxmlformats.org/officeDocument/2006/relationships/hyperlink" Target="mailto:brian.sufalko@tryloop.ai" TargetMode="External"/><Relationship Id="rId28" Type="http://schemas.openxmlformats.org/officeDocument/2006/relationships/hyperlink" Target="mailto:vianny@tryloop.ai" TargetMode="External"/><Relationship Id="rId27" Type="http://schemas.openxmlformats.org/officeDocument/2006/relationships/hyperlink" Target="mailto:brian.sufalko@tryloop.ai" TargetMode="External"/><Relationship Id="rId29" Type="http://schemas.openxmlformats.org/officeDocument/2006/relationships/hyperlink" Target="mailto:brian.sufalko@tryloop.ai" TargetMode="External"/><Relationship Id="rId51" Type="http://schemas.openxmlformats.org/officeDocument/2006/relationships/hyperlink" Target="mailto:jessy.calderon@tryloop.ai" TargetMode="External"/><Relationship Id="rId50" Type="http://schemas.openxmlformats.org/officeDocument/2006/relationships/hyperlink" Target="mailto:charles@tryloop.ai" TargetMode="External"/><Relationship Id="rId53" Type="http://schemas.openxmlformats.org/officeDocument/2006/relationships/hyperlink" Target="mailto:james@tryloop.ai" TargetMode="External"/><Relationship Id="rId52" Type="http://schemas.openxmlformats.org/officeDocument/2006/relationships/hyperlink" Target="mailto:charles@tryloop.ai" TargetMode="External"/><Relationship Id="rId11" Type="http://schemas.openxmlformats.org/officeDocument/2006/relationships/hyperlink" Target="mailto:brian.sufalko@tryloop.ai" TargetMode="External"/><Relationship Id="rId55" Type="http://schemas.openxmlformats.org/officeDocument/2006/relationships/hyperlink" Target="mailto:henry@tryloop.ai" TargetMode="External"/><Relationship Id="rId10" Type="http://schemas.openxmlformats.org/officeDocument/2006/relationships/hyperlink" Target="mailto:brian.sufalko@tryloop.ai" TargetMode="External"/><Relationship Id="rId54" Type="http://schemas.openxmlformats.org/officeDocument/2006/relationships/hyperlink" Target="mailto:devyn@tryloop.ai" TargetMode="External"/><Relationship Id="rId13" Type="http://schemas.openxmlformats.org/officeDocument/2006/relationships/hyperlink" Target="mailto:brian.sufalko@tryloop.ai" TargetMode="External"/><Relationship Id="rId57" Type="http://schemas.openxmlformats.org/officeDocument/2006/relationships/hyperlink" Target="mailto:henry@tryloop.ai" TargetMode="External"/><Relationship Id="rId12" Type="http://schemas.openxmlformats.org/officeDocument/2006/relationships/hyperlink" Target="mailto:brian.sufalko@tryloop.ai" TargetMode="External"/><Relationship Id="rId56" Type="http://schemas.openxmlformats.org/officeDocument/2006/relationships/hyperlink" Target="mailto:alex@tryloop.ai" TargetMode="External"/><Relationship Id="rId15" Type="http://schemas.openxmlformats.org/officeDocument/2006/relationships/hyperlink" Target="mailto:chandler@tryloop.ai" TargetMode="External"/><Relationship Id="rId59" Type="http://schemas.openxmlformats.org/officeDocument/2006/relationships/hyperlink" Target="mailto:nathan@tryloop.ai" TargetMode="External"/><Relationship Id="rId14" Type="http://schemas.openxmlformats.org/officeDocument/2006/relationships/hyperlink" Target="mailto:brian.sufalko@tryloop.ai" TargetMode="External"/><Relationship Id="rId58" Type="http://schemas.openxmlformats.org/officeDocument/2006/relationships/hyperlink" Target="mailto:carlton.ekiyor@tryloop.ai" TargetMode="External"/><Relationship Id="rId17" Type="http://schemas.openxmlformats.org/officeDocument/2006/relationships/hyperlink" Target="mailto:danny@tryloop.ai" TargetMode="External"/><Relationship Id="rId16" Type="http://schemas.openxmlformats.org/officeDocument/2006/relationships/hyperlink" Target="mailto:brian.sufalko@tryloop.ai" TargetMode="External"/><Relationship Id="rId19" Type="http://schemas.openxmlformats.org/officeDocument/2006/relationships/hyperlink" Target="mailto:james.schrepel@tryloop.ai" TargetMode="External"/><Relationship Id="rId18" Type="http://schemas.openxmlformats.org/officeDocument/2006/relationships/hyperlink" Target="mailto:brian.sufalko@tryloop.ai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taylor.ludwick@loopai.com" TargetMode="External"/><Relationship Id="rId2" Type="http://schemas.openxmlformats.org/officeDocument/2006/relationships/hyperlink" Target="mailto:eric.azaren@loopai.com" TargetMode="External"/><Relationship Id="rId3" Type="http://schemas.openxmlformats.org/officeDocument/2006/relationships/hyperlink" Target="mailto:carlton.ekiyor@tryloop.ai" TargetMode="External"/><Relationship Id="rId4" Type="http://schemas.openxmlformats.org/officeDocument/2006/relationships/hyperlink" Target="mailto:jessy.calderon@tryloop.ai" TargetMode="External"/><Relationship Id="rId5" Type="http://schemas.openxmlformats.org/officeDocument/2006/relationships/hyperlink" Target="mailto:clay@tryloop.ai" TargetMode="External"/><Relationship Id="rId6" Type="http://schemas.openxmlformats.org/officeDocument/2006/relationships/hyperlink" Target="mailto:dan.varela@tryloop.ai" TargetMode="External"/><Relationship Id="rId7" Type="http://schemas.openxmlformats.org/officeDocument/2006/relationships/hyperlink" Target="mailto:jeff@tryloop.ai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clay@tryloop.ai" TargetMode="External"/><Relationship Id="rId2" Type="http://schemas.openxmlformats.org/officeDocument/2006/relationships/hyperlink" Target="mailto:jessy.calderon@tryloop.ai" TargetMode="External"/><Relationship Id="rId3" Type="http://schemas.openxmlformats.org/officeDocument/2006/relationships/hyperlink" Target="mailto:carlton.ekiyor@tryloop.ai" TargetMode="External"/><Relationship Id="rId4" Type="http://schemas.openxmlformats.org/officeDocument/2006/relationships/hyperlink" Target="mailto:dan.varela@tryloop.ai" TargetMode="External"/><Relationship Id="rId9" Type="http://schemas.openxmlformats.org/officeDocument/2006/relationships/hyperlink" Target="mailto:jessy.calderon@tryloop.ai" TargetMode="External"/><Relationship Id="rId5" Type="http://schemas.openxmlformats.org/officeDocument/2006/relationships/hyperlink" Target="mailto:taylor.ludwick@loopai.com" TargetMode="External"/><Relationship Id="rId6" Type="http://schemas.openxmlformats.org/officeDocument/2006/relationships/hyperlink" Target="mailto:eric.azaren@loopai.com" TargetMode="External"/><Relationship Id="rId7" Type="http://schemas.openxmlformats.org/officeDocument/2006/relationships/hyperlink" Target="mailto:nick.barbo@tryloop.ai" TargetMode="External"/><Relationship Id="rId8" Type="http://schemas.openxmlformats.org/officeDocument/2006/relationships/hyperlink" Target="mailto:clay@tryloop.ai" TargetMode="External"/><Relationship Id="rId30" Type="http://schemas.openxmlformats.org/officeDocument/2006/relationships/table" Target="../tables/table4.xml"/><Relationship Id="rId20" Type="http://schemas.openxmlformats.org/officeDocument/2006/relationships/hyperlink" Target="mailto:eric.azaren@loopai.com" TargetMode="External"/><Relationship Id="rId22" Type="http://schemas.openxmlformats.org/officeDocument/2006/relationships/drawing" Target="../drawings/drawing4.xml"/><Relationship Id="rId21" Type="http://schemas.openxmlformats.org/officeDocument/2006/relationships/hyperlink" Target="mailto:nick.barbo@tryloop.ai" TargetMode="External"/><Relationship Id="rId28" Type="http://schemas.openxmlformats.org/officeDocument/2006/relationships/table" Target="../tables/table2.xml"/><Relationship Id="rId27" Type="http://schemas.openxmlformats.org/officeDocument/2006/relationships/table" Target="../tables/table1.xml"/><Relationship Id="rId29" Type="http://schemas.openxmlformats.org/officeDocument/2006/relationships/table" Target="../tables/table3.xml"/><Relationship Id="rId11" Type="http://schemas.openxmlformats.org/officeDocument/2006/relationships/hyperlink" Target="mailto:dan.varela@tryloop.ai" TargetMode="External"/><Relationship Id="rId10" Type="http://schemas.openxmlformats.org/officeDocument/2006/relationships/hyperlink" Target="mailto:carlton.ekiyor@tryloop.ai" TargetMode="External"/><Relationship Id="rId13" Type="http://schemas.openxmlformats.org/officeDocument/2006/relationships/hyperlink" Target="mailto:eric.azaren@loopai.com" TargetMode="External"/><Relationship Id="rId12" Type="http://schemas.openxmlformats.org/officeDocument/2006/relationships/hyperlink" Target="mailto:taylor.ludwick@loopai.com" TargetMode="External"/><Relationship Id="rId15" Type="http://schemas.openxmlformats.org/officeDocument/2006/relationships/hyperlink" Target="mailto:clay@tryloop.ai" TargetMode="External"/><Relationship Id="rId14" Type="http://schemas.openxmlformats.org/officeDocument/2006/relationships/hyperlink" Target="mailto:nick.barbo@tryloop.ai" TargetMode="External"/><Relationship Id="rId17" Type="http://schemas.openxmlformats.org/officeDocument/2006/relationships/hyperlink" Target="mailto:carlton.ekiyor@tryloop.ai" TargetMode="External"/><Relationship Id="rId16" Type="http://schemas.openxmlformats.org/officeDocument/2006/relationships/hyperlink" Target="mailto:jessy.calderon@tryloop.ai" TargetMode="External"/><Relationship Id="rId19" Type="http://schemas.openxmlformats.org/officeDocument/2006/relationships/hyperlink" Target="mailto:taylor.ludwick@loopai.com" TargetMode="External"/><Relationship Id="rId18" Type="http://schemas.openxmlformats.org/officeDocument/2006/relationships/hyperlink" Target="mailto:dan.varela@tryloop.ai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mailto:charles@tryloop.ai" TargetMode="External"/><Relationship Id="rId84" Type="http://schemas.openxmlformats.org/officeDocument/2006/relationships/hyperlink" Target="mailto:eric.azaren@loopai.com" TargetMode="External"/><Relationship Id="rId83" Type="http://schemas.openxmlformats.org/officeDocument/2006/relationships/hyperlink" Target="https://drive.google.com/file/d/1GDR2wUs4-Dpb__833L_mpEGZJuvbYzZu/view" TargetMode="External"/><Relationship Id="rId42" Type="http://schemas.openxmlformats.org/officeDocument/2006/relationships/hyperlink" Target="https://docs.google.com/document/d/1vmOJiP21xvWcXD3Dl8E9f30Fj4j8ColHGCt3SNsnUFQ/edit?usp=sharing" TargetMode="External"/><Relationship Id="rId86" Type="http://schemas.openxmlformats.org/officeDocument/2006/relationships/hyperlink" Target="https://docs.google.com/spreadsheets/d/1JoYs07o4olMjypPtOTBssnVqspmKYM1UuU3l1qDdRCw/edit?gid=0" TargetMode="External"/><Relationship Id="rId41" Type="http://schemas.openxmlformats.org/officeDocument/2006/relationships/hyperlink" Target="mailto:alex@tryloop.ai" TargetMode="External"/><Relationship Id="rId85" Type="http://schemas.openxmlformats.org/officeDocument/2006/relationships/hyperlink" Target="mailto:nathan@tryloop.ai" TargetMode="External"/><Relationship Id="rId44" Type="http://schemas.openxmlformats.org/officeDocument/2006/relationships/hyperlink" Target="http://loom.com/share/836709bd93894ffab9db2b8ef8ca3e37?from_recorder=1" TargetMode="External"/><Relationship Id="rId88" Type="http://schemas.openxmlformats.org/officeDocument/2006/relationships/hyperlink" Target="https://app.fireflies.ai/view/Matt-Eric-Mock-Demo::01KJ61TBPRCZBE7MPJQDWBPQQB?q=eric" TargetMode="External"/><Relationship Id="rId43" Type="http://schemas.openxmlformats.org/officeDocument/2006/relationships/hyperlink" Target="http://loom.com/share/b2b3aca5769f47a08160e1b192f84f3b?from_recorder=1" TargetMode="External"/><Relationship Id="rId87" Type="http://schemas.openxmlformats.org/officeDocument/2006/relationships/hyperlink" Target="https://app.fireflies.ai/view/Demo::01KJ0VVCJNF2QN6ERCJ86V7XZ1?channelSource=mine" TargetMode="External"/><Relationship Id="rId46" Type="http://schemas.openxmlformats.org/officeDocument/2006/relationships/hyperlink" Target="https://docs.google.com/document/d/1XbnFuEeQpTxWsMFET0LHL2UYY_NHCnEN2Slw8tkVgoM/edit?tab=t.0" TargetMode="External"/><Relationship Id="rId45" Type="http://schemas.openxmlformats.org/officeDocument/2006/relationships/hyperlink" Target="https://www.loom.com/share/4759b03208834475b0a472b3a382df26" TargetMode="External"/><Relationship Id="rId89" Type="http://schemas.openxmlformats.org/officeDocument/2006/relationships/hyperlink" Target="https://app.fireflies.ai/view/Eric-Nathan-Demo::01KJ5XY3CMSRM8QQMPEZEJ197D?channelSource=mine" TargetMode="External"/><Relationship Id="rId80" Type="http://schemas.openxmlformats.org/officeDocument/2006/relationships/hyperlink" Target="https://docs.google.com/spreadsheets/d/1emhhVhYMJ4e68MPUXN5grzQumbCdS8Qohq3Yt0VlHlY/edit?gid=0" TargetMode="External"/><Relationship Id="rId82" Type="http://schemas.openxmlformats.org/officeDocument/2006/relationships/hyperlink" Target="https://app.fireflies.ai/view/Carlton-Nate-Demo::01KJ87S3GYM856BD5FKYGQ9XJ4" TargetMode="External"/><Relationship Id="rId81" Type="http://schemas.openxmlformats.org/officeDocument/2006/relationships/hyperlink" Target="https://app.fireflies.ai/view/Demo::01KJ0VVC9MT40SETY8VBMQ4H3H?channelSource=mine" TargetMode="External"/><Relationship Id="rId1" Type="http://schemas.openxmlformats.org/officeDocument/2006/relationships/hyperlink" Target="mailto:brad@tryloop.ai" TargetMode="External"/><Relationship Id="rId2" Type="http://schemas.openxmlformats.org/officeDocument/2006/relationships/hyperlink" Target="mailto:brian.sufalko@tryloop.ai" TargetMode="External"/><Relationship Id="rId3" Type="http://schemas.openxmlformats.org/officeDocument/2006/relationships/hyperlink" Target="mailto:nick.barbo@tryloop.ai" TargetMode="External"/><Relationship Id="rId4" Type="http://schemas.openxmlformats.org/officeDocument/2006/relationships/hyperlink" Target="mailto:brian.sufalko@tryloop.ai" TargetMode="External"/><Relationship Id="rId9" Type="http://schemas.openxmlformats.org/officeDocument/2006/relationships/hyperlink" Target="mailto:brian.sufalko@tryloop.ai" TargetMode="External"/><Relationship Id="rId48" Type="http://schemas.openxmlformats.org/officeDocument/2006/relationships/hyperlink" Target="mailto:charles@tryloop.ai" TargetMode="External"/><Relationship Id="rId47" Type="http://schemas.openxmlformats.org/officeDocument/2006/relationships/hyperlink" Target="mailto:dan.varela@tryloop.ai" TargetMode="External"/><Relationship Id="rId49" Type="http://schemas.openxmlformats.org/officeDocument/2006/relationships/hyperlink" Target="mailto:alexis@tryloop.ai" TargetMode="External"/><Relationship Id="rId5" Type="http://schemas.openxmlformats.org/officeDocument/2006/relationships/hyperlink" Target="mailto:tyrell@tryloop.ai" TargetMode="External"/><Relationship Id="rId6" Type="http://schemas.openxmlformats.org/officeDocument/2006/relationships/hyperlink" Target="mailto:brian.sufalko@tryloop.ai" TargetMode="External"/><Relationship Id="rId7" Type="http://schemas.openxmlformats.org/officeDocument/2006/relationships/hyperlink" Target="mailto:brian.sufalko@tryloop.ai" TargetMode="External"/><Relationship Id="rId8" Type="http://schemas.openxmlformats.org/officeDocument/2006/relationships/hyperlink" Target="mailto:brian.sufalko@tryloop.ai" TargetMode="External"/><Relationship Id="rId73" Type="http://schemas.openxmlformats.org/officeDocument/2006/relationships/hyperlink" Target="mailto:simon@tryloop.ai" TargetMode="External"/><Relationship Id="rId72" Type="http://schemas.openxmlformats.org/officeDocument/2006/relationships/hyperlink" Target="mailto:henry@tryloop.ai" TargetMode="External"/><Relationship Id="rId31" Type="http://schemas.openxmlformats.org/officeDocument/2006/relationships/hyperlink" Target="mailto:arthur@tryloop.ai" TargetMode="External"/><Relationship Id="rId75" Type="http://schemas.openxmlformats.org/officeDocument/2006/relationships/hyperlink" Target="mailto:nathan@tryloop.ai" TargetMode="External"/><Relationship Id="rId30" Type="http://schemas.openxmlformats.org/officeDocument/2006/relationships/hyperlink" Target="mailto:alexis@tryloop.ai" TargetMode="External"/><Relationship Id="rId74" Type="http://schemas.openxmlformats.org/officeDocument/2006/relationships/hyperlink" Target="mailto:simon@tryloop.ai" TargetMode="External"/><Relationship Id="rId33" Type="http://schemas.openxmlformats.org/officeDocument/2006/relationships/hyperlink" Target="mailto:james@tryloop.ai" TargetMode="External"/><Relationship Id="rId77" Type="http://schemas.openxmlformats.org/officeDocument/2006/relationships/hyperlink" Target="mailto:carlton.ekiyor@tryloop.ai" TargetMode="External"/><Relationship Id="rId32" Type="http://schemas.openxmlformats.org/officeDocument/2006/relationships/hyperlink" Target="https://docs.google.com/document/d/1S9_gcy4Ph2APZhQUkYJZlFqjzyuP2yyDcgtunzftlmU/edit?tab=t.0" TargetMode="External"/><Relationship Id="rId76" Type="http://schemas.openxmlformats.org/officeDocument/2006/relationships/hyperlink" Target="https://docs.google.com/spreadsheets/d/1W3rzztwXaZnYAvsO99L4OS8abLtggYUbYpU9XGbGPRg/edit?pli=1&amp;gid=1369044100" TargetMode="External"/><Relationship Id="rId35" Type="http://schemas.openxmlformats.org/officeDocument/2006/relationships/hyperlink" Target="https://docs.google.com/document/d/1TibHIrcBEvxub32f3DLnX4494rjyJARA0i8lXJeeElQ/edit?tab=t.0" TargetMode="External"/><Relationship Id="rId79" Type="http://schemas.openxmlformats.org/officeDocument/2006/relationships/hyperlink" Target="mailto:matt.bullock@tryloop.ai" TargetMode="External"/><Relationship Id="rId34" Type="http://schemas.openxmlformats.org/officeDocument/2006/relationships/hyperlink" Target="mailto:arthur@tryloop.ai" TargetMode="External"/><Relationship Id="rId78" Type="http://schemas.openxmlformats.org/officeDocument/2006/relationships/hyperlink" Target="mailto:nathan@tryloop.ai" TargetMode="External"/><Relationship Id="rId71" Type="http://schemas.openxmlformats.org/officeDocument/2006/relationships/hyperlink" Target="mailto:devyn@tryloop.ai" TargetMode="External"/><Relationship Id="rId70" Type="http://schemas.openxmlformats.org/officeDocument/2006/relationships/hyperlink" Target="mailto:henry@tryloop.ai" TargetMode="External"/><Relationship Id="rId37" Type="http://schemas.openxmlformats.org/officeDocument/2006/relationships/hyperlink" Target="mailto:arthur@tryloop.ai" TargetMode="External"/><Relationship Id="rId36" Type="http://schemas.openxmlformats.org/officeDocument/2006/relationships/hyperlink" Target="mailto:sarra@tryloop.ai" TargetMode="External"/><Relationship Id="rId39" Type="http://schemas.openxmlformats.org/officeDocument/2006/relationships/hyperlink" Target="mailto:clay@tryloop.ai" TargetMode="External"/><Relationship Id="rId38" Type="http://schemas.openxmlformats.org/officeDocument/2006/relationships/hyperlink" Target="https://docs.google.com/document/d/1_FijX4toGkEgJW1CjEfwVA6cWqd-R7qoCluC0dahj-A/edit?tab=t.0" TargetMode="External"/><Relationship Id="rId62" Type="http://schemas.openxmlformats.org/officeDocument/2006/relationships/hyperlink" Target="mailto:charles@tryloop.ai" TargetMode="External"/><Relationship Id="rId61" Type="http://schemas.openxmlformats.org/officeDocument/2006/relationships/hyperlink" Target="mailto:taylor.ludwick@loopai.com" TargetMode="External"/><Relationship Id="rId20" Type="http://schemas.openxmlformats.org/officeDocument/2006/relationships/hyperlink" Target="mailto:brian.sufalko@tryloop.ai" TargetMode="External"/><Relationship Id="rId64" Type="http://schemas.openxmlformats.org/officeDocument/2006/relationships/hyperlink" Target="https://docs.google.com/document/d/1uIEdNVV1HvJwAYW5Gjdl9EFox2cQ4sb-9iZqHy850gk/edit?usp=sharing" TargetMode="External"/><Relationship Id="rId63" Type="http://schemas.openxmlformats.org/officeDocument/2006/relationships/hyperlink" Target="mailto:charles@tryloop.ai" TargetMode="External"/><Relationship Id="rId22" Type="http://schemas.openxmlformats.org/officeDocument/2006/relationships/hyperlink" Target="mailto:spencer@tryloop.ai" TargetMode="External"/><Relationship Id="rId66" Type="http://schemas.openxmlformats.org/officeDocument/2006/relationships/hyperlink" Target="https://www.loom.com/share/47f177ad054a4261be9eb8689641b55d" TargetMode="External"/><Relationship Id="rId21" Type="http://schemas.openxmlformats.org/officeDocument/2006/relationships/hyperlink" Target="mailto:brian.sufalko@tryloop.ai" TargetMode="External"/><Relationship Id="rId65" Type="http://schemas.openxmlformats.org/officeDocument/2006/relationships/hyperlink" Target="https://www.loom.com/share/33cc9c79c9ce4e66b293f6dea5313f61" TargetMode="External"/><Relationship Id="rId24" Type="http://schemas.openxmlformats.org/officeDocument/2006/relationships/hyperlink" Target="mailto:vianny@tryloop.ai" TargetMode="External"/><Relationship Id="rId68" Type="http://schemas.openxmlformats.org/officeDocument/2006/relationships/hyperlink" Target="https://docs.google.com/document/d/1Jvgp81N7QQpwSqOOsDI2xaPqHirIZAxs_35LEoWEfMk/edit?tab=t.0" TargetMode="External"/><Relationship Id="rId23" Type="http://schemas.openxmlformats.org/officeDocument/2006/relationships/hyperlink" Target="mailto:brian.sufalko@tryloop.ai" TargetMode="External"/><Relationship Id="rId67" Type="http://schemas.openxmlformats.org/officeDocument/2006/relationships/hyperlink" Target="https://www.loom.com/share/02e9a62702c0484798d017728b8bafa4" TargetMode="External"/><Relationship Id="rId60" Type="http://schemas.openxmlformats.org/officeDocument/2006/relationships/hyperlink" Target="https://docs.google.com/document/d/1kRPpWCjYHEfdqFq8z7dR1TTD3PaBaPMXKoJ6CidcbaM/edit?usp=sharing" TargetMode="External"/><Relationship Id="rId26" Type="http://schemas.openxmlformats.org/officeDocument/2006/relationships/hyperlink" Target="mailto:charles@tryloop.ai" TargetMode="External"/><Relationship Id="rId25" Type="http://schemas.openxmlformats.org/officeDocument/2006/relationships/hyperlink" Target="mailto:brian.sufalko@tryloop.ai" TargetMode="External"/><Relationship Id="rId69" Type="http://schemas.openxmlformats.org/officeDocument/2006/relationships/hyperlink" Target="mailto:alex@tryloop.ai" TargetMode="External"/><Relationship Id="rId28" Type="http://schemas.openxmlformats.org/officeDocument/2006/relationships/hyperlink" Target="mailto:nathan@tryloop.ai" TargetMode="External"/><Relationship Id="rId27" Type="http://schemas.openxmlformats.org/officeDocument/2006/relationships/hyperlink" Target="mailto:arthur@tryloop.ai" TargetMode="External"/><Relationship Id="rId29" Type="http://schemas.openxmlformats.org/officeDocument/2006/relationships/hyperlink" Target="mailto:arthur@tryloop.ai" TargetMode="External"/><Relationship Id="rId51" Type="http://schemas.openxmlformats.org/officeDocument/2006/relationships/hyperlink" Target="mailto:jessy.calderon@tryloop.ai" TargetMode="External"/><Relationship Id="rId95" Type="http://schemas.openxmlformats.org/officeDocument/2006/relationships/drawing" Target="../drawings/drawing5.xml"/><Relationship Id="rId50" Type="http://schemas.openxmlformats.org/officeDocument/2006/relationships/hyperlink" Target="https://docs.google.com/document/d/1BEWzaSBVxQBKLPqI0hOfWasD8YJTSXMomIjMDROors8/edit?usp=sharing" TargetMode="External"/><Relationship Id="rId94" Type="http://schemas.openxmlformats.org/officeDocument/2006/relationships/hyperlink" Target="https://docs.google.com/spreadsheets/d/1a3zBv7M00LaR_PGe7qZhOqDkzxOXtGjrO0Fw7clMN_g/edit?gid=0" TargetMode="External"/><Relationship Id="rId53" Type="http://schemas.openxmlformats.org/officeDocument/2006/relationships/hyperlink" Target="https://docs.google.com/document/d/1D4A_t_BjSXLvi8vQ8KhWim3hCt_Oh4cZ0p7Tz_GJVZQ/edit?usp=sharing" TargetMode="External"/><Relationship Id="rId52" Type="http://schemas.openxmlformats.org/officeDocument/2006/relationships/hyperlink" Target="mailto:charles@tryloop.ai" TargetMode="External"/><Relationship Id="rId11" Type="http://schemas.openxmlformats.org/officeDocument/2006/relationships/hyperlink" Target="mailto:chandler@tryloop.ai" TargetMode="External"/><Relationship Id="rId55" Type="http://schemas.openxmlformats.org/officeDocument/2006/relationships/hyperlink" Target="https://www.loom.com/share/32ac4096936e4318bcd9a9e53d5c3aae" TargetMode="External"/><Relationship Id="rId10" Type="http://schemas.openxmlformats.org/officeDocument/2006/relationships/hyperlink" Target="mailto:brian.sufalko@tryloop.ai" TargetMode="External"/><Relationship Id="rId54" Type="http://schemas.openxmlformats.org/officeDocument/2006/relationships/hyperlink" Target="https://www.loom.com/share/34c231aab2ab4500a4f0d73696515f38" TargetMode="External"/><Relationship Id="rId13" Type="http://schemas.openxmlformats.org/officeDocument/2006/relationships/hyperlink" Target="mailto:danny@tryloop.ai" TargetMode="External"/><Relationship Id="rId57" Type="http://schemas.openxmlformats.org/officeDocument/2006/relationships/hyperlink" Target="mailto:matt.bullock@tryloop.ai" TargetMode="External"/><Relationship Id="rId12" Type="http://schemas.openxmlformats.org/officeDocument/2006/relationships/hyperlink" Target="mailto:brian.sufalko@tryloop.ai" TargetMode="External"/><Relationship Id="rId56" Type="http://schemas.openxmlformats.org/officeDocument/2006/relationships/hyperlink" Target="https://www.loom.com/share/c23fdc1d65914a629a691d61215e12fc" TargetMode="External"/><Relationship Id="rId91" Type="http://schemas.openxmlformats.org/officeDocument/2006/relationships/hyperlink" Target="mailto:jeff@tryloop.ai" TargetMode="External"/><Relationship Id="rId90" Type="http://schemas.openxmlformats.org/officeDocument/2006/relationships/hyperlink" Target="https://docs.google.com/document/d/1ABJrDqhwoRVcrVabSHenae-gVRBkQKV7_9IUsainuY0/edit?tab=t.0" TargetMode="External"/><Relationship Id="rId93" Type="http://schemas.openxmlformats.org/officeDocument/2006/relationships/hyperlink" Target="mailto:sarra@tryloop.ai" TargetMode="External"/><Relationship Id="rId92" Type="http://schemas.openxmlformats.org/officeDocument/2006/relationships/hyperlink" Target="mailto:nathan@tryloop.ai" TargetMode="External"/><Relationship Id="rId15" Type="http://schemas.openxmlformats.org/officeDocument/2006/relationships/hyperlink" Target="mailto:james.schrepel@tryloop.ai" TargetMode="External"/><Relationship Id="rId59" Type="http://schemas.openxmlformats.org/officeDocument/2006/relationships/hyperlink" Target="mailto:james@tryloop.ai" TargetMode="External"/><Relationship Id="rId14" Type="http://schemas.openxmlformats.org/officeDocument/2006/relationships/hyperlink" Target="mailto:brian.sufalko@tryloop.ai" TargetMode="External"/><Relationship Id="rId58" Type="http://schemas.openxmlformats.org/officeDocument/2006/relationships/hyperlink" Target="mailto:charles@tryloop.ai" TargetMode="External"/><Relationship Id="rId17" Type="http://schemas.openxmlformats.org/officeDocument/2006/relationships/hyperlink" Target="mailto:josue@tryloop.ai" TargetMode="External"/><Relationship Id="rId16" Type="http://schemas.openxmlformats.org/officeDocument/2006/relationships/hyperlink" Target="mailto:brian.sufalko@tryloop.ai" TargetMode="External"/><Relationship Id="rId19" Type="http://schemas.openxmlformats.org/officeDocument/2006/relationships/hyperlink" Target="mailto:olivia@tryloop.ai" TargetMode="External"/><Relationship Id="rId18" Type="http://schemas.openxmlformats.org/officeDocument/2006/relationships/hyperlink" Target="mailto:brian.sufalko@tryloop.ai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XC4A9MeNIzc6o55ZKHz4zb6vVWn5j89V/view?usp=drive_link" TargetMode="External"/><Relationship Id="rId2" Type="http://schemas.openxmlformats.org/officeDocument/2006/relationships/hyperlink" Target="https://drive.google.com/file/d/1HXXGw0CI0E6_gRo9Ugx2gNFtOErEL6j4/view?usp=drive_link" TargetMode="External"/><Relationship Id="rId3" Type="http://schemas.openxmlformats.org/officeDocument/2006/relationships/hyperlink" Target="https://drive.google.com/file/d/1S9py09D7ZL2k9ToUUrJGty5jejXb5EKh/view?usp=drive_link" TargetMode="External"/><Relationship Id="rId4" Type="http://schemas.openxmlformats.org/officeDocument/2006/relationships/hyperlink" Target="https://drive.google.com/file/d/1LmuFP8WC0GnbEIGLpOiZSA9aOF6x7yZ7/view?usp=drive_link" TargetMode="External"/><Relationship Id="rId5" Type="http://schemas.openxmlformats.org/officeDocument/2006/relationships/hyperlink" Target="https://drive.google.com/file/d/1feKAh0vpYWMNG95HrQIfl52Q1zjFVm6A/view?usp=drive_link" TargetMode="External"/><Relationship Id="rId6" Type="http://schemas.openxmlformats.org/officeDocument/2006/relationships/hyperlink" Target="https://drive.google.com/file/d/1nQbdrmq9JBLLwDjLS4S2hnl5L1Lp1eb8/view?usp=drive_link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3" width="19.75"/>
    <col customWidth="1" min="4" max="5" width="15.63"/>
    <col customWidth="1" min="6" max="6" width="19.63"/>
    <col customWidth="1" min="7" max="7" width="18.63"/>
    <col customWidth="1" min="8" max="8" width="10.88"/>
    <col customWidth="1" min="10" max="10" width="13.13"/>
    <col customWidth="1" min="11" max="11" width="18.38"/>
    <col customWidth="1" min="12" max="12" width="12.0"/>
    <col customWidth="1" min="13" max="13" width="5.38"/>
    <col customWidth="1" min="14" max="14" width="8.25"/>
    <col customWidth="1" min="15" max="16" width="8.63"/>
    <col customWidth="1" min="17" max="17" width="7.38"/>
    <col customWidth="1" min="18" max="18" width="9.88"/>
    <col customWidth="1" min="19" max="19" width="6.13"/>
    <col customWidth="1" min="20" max="20" width="8.0"/>
    <col customWidth="1" min="21" max="21" width="6.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5" t="s">
        <v>2</v>
      </c>
      <c r="J1" s="3"/>
      <c r="K1" s="4"/>
      <c r="L1" s="6" t="s">
        <v>3</v>
      </c>
      <c r="V1" s="7"/>
    </row>
    <row r="2">
      <c r="A2" s="8" t="s">
        <v>4</v>
      </c>
      <c r="B2" s="9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10" t="s">
        <v>15</v>
      </c>
      <c r="M2" s="10" t="s">
        <v>16</v>
      </c>
      <c r="N2" s="10" t="s">
        <v>17</v>
      </c>
      <c r="O2" s="10" t="s">
        <v>18</v>
      </c>
      <c r="P2" s="11" t="s">
        <v>19</v>
      </c>
      <c r="Q2" s="11" t="s">
        <v>20</v>
      </c>
      <c r="R2" s="10" t="s">
        <v>21</v>
      </c>
      <c r="S2" s="11" t="s">
        <v>22</v>
      </c>
      <c r="T2" s="11" t="s">
        <v>23</v>
      </c>
      <c r="U2" s="11" t="s">
        <v>24</v>
      </c>
      <c r="V2" s="7"/>
    </row>
    <row r="3">
      <c r="A3" s="12" t="s">
        <v>25</v>
      </c>
      <c r="B3" s="13"/>
      <c r="C3" s="14" t="s">
        <v>26</v>
      </c>
      <c r="D3" s="14" t="s">
        <v>27</v>
      </c>
      <c r="E3" s="15" t="s">
        <v>28</v>
      </c>
      <c r="F3" s="12" t="s">
        <v>29</v>
      </c>
      <c r="G3" s="16"/>
      <c r="H3" s="16"/>
      <c r="I3" s="14" t="s">
        <v>30</v>
      </c>
      <c r="J3" s="16"/>
      <c r="K3" s="16"/>
      <c r="L3" s="17" t="b">
        <v>1</v>
      </c>
      <c r="M3" s="17" t="b">
        <v>1</v>
      </c>
      <c r="N3" s="17" t="b">
        <v>1</v>
      </c>
      <c r="O3" s="18" t="b">
        <v>0</v>
      </c>
      <c r="P3" s="18" t="b">
        <v>0</v>
      </c>
      <c r="Q3" s="17" t="b">
        <v>1</v>
      </c>
      <c r="R3" s="17" t="b">
        <v>1</v>
      </c>
      <c r="S3" s="18" t="b">
        <v>0</v>
      </c>
      <c r="T3" s="18" t="b">
        <v>0</v>
      </c>
      <c r="U3" s="17" t="b">
        <v>1</v>
      </c>
      <c r="V3" s="7"/>
    </row>
    <row r="4">
      <c r="A4" s="12" t="s">
        <v>31</v>
      </c>
      <c r="B4" s="13"/>
      <c r="C4" s="14" t="s">
        <v>26</v>
      </c>
      <c r="D4" s="15" t="s">
        <v>32</v>
      </c>
      <c r="E4" s="15" t="s">
        <v>28</v>
      </c>
      <c r="F4" s="19" t="s">
        <v>33</v>
      </c>
      <c r="G4" s="16"/>
      <c r="H4" s="16"/>
      <c r="I4" s="14" t="s">
        <v>30</v>
      </c>
      <c r="J4" s="16"/>
      <c r="K4" s="16"/>
      <c r="L4" s="17" t="b">
        <v>1</v>
      </c>
      <c r="M4" s="17" t="b">
        <v>1</v>
      </c>
      <c r="N4" s="17" t="b">
        <v>1</v>
      </c>
      <c r="O4" s="17" t="b">
        <v>1</v>
      </c>
      <c r="P4" s="18" t="b">
        <v>0</v>
      </c>
      <c r="Q4" s="17" t="b">
        <v>1</v>
      </c>
      <c r="R4" s="17" t="b">
        <v>1</v>
      </c>
      <c r="S4" s="18" t="b">
        <v>0</v>
      </c>
      <c r="T4" s="17" t="b">
        <v>0</v>
      </c>
      <c r="U4" s="17" t="b">
        <v>1</v>
      </c>
      <c r="V4" s="7"/>
    </row>
    <row r="5">
      <c r="A5" s="12" t="s">
        <v>34</v>
      </c>
      <c r="B5" s="13"/>
      <c r="C5" s="14" t="s">
        <v>26</v>
      </c>
      <c r="D5" s="15" t="s">
        <v>32</v>
      </c>
      <c r="E5" s="15" t="s">
        <v>28</v>
      </c>
      <c r="F5" s="12" t="s">
        <v>29</v>
      </c>
      <c r="G5" s="16"/>
      <c r="H5" s="16"/>
      <c r="I5" s="14" t="s">
        <v>30</v>
      </c>
      <c r="J5" s="16"/>
      <c r="K5" s="16"/>
      <c r="L5" s="17" t="b">
        <v>1</v>
      </c>
      <c r="M5" s="17" t="b">
        <v>1</v>
      </c>
      <c r="N5" s="17" t="b">
        <v>1</v>
      </c>
      <c r="O5" s="18" t="b">
        <v>0</v>
      </c>
      <c r="P5" s="18" t="b">
        <v>0</v>
      </c>
      <c r="Q5" s="17" t="b">
        <v>1</v>
      </c>
      <c r="R5" s="17" t="b">
        <v>1</v>
      </c>
      <c r="S5" s="18" t="b">
        <v>0</v>
      </c>
      <c r="T5" s="18" t="b">
        <v>0</v>
      </c>
      <c r="U5" s="17" t="b">
        <v>1</v>
      </c>
      <c r="V5" s="7"/>
    </row>
    <row r="6">
      <c r="A6" s="20" t="s">
        <v>35</v>
      </c>
      <c r="B6" s="13"/>
      <c r="C6" s="14" t="s">
        <v>36</v>
      </c>
      <c r="D6" s="15" t="s">
        <v>37</v>
      </c>
      <c r="E6" s="15" t="s">
        <v>28</v>
      </c>
      <c r="F6" s="12" t="s">
        <v>29</v>
      </c>
      <c r="G6" s="18"/>
      <c r="H6" s="18"/>
      <c r="I6" s="14" t="s">
        <v>38</v>
      </c>
      <c r="J6" s="18"/>
      <c r="K6" s="18"/>
      <c r="L6" s="17" t="b">
        <v>1</v>
      </c>
      <c r="M6" s="17" t="b">
        <v>1</v>
      </c>
      <c r="N6" s="17" t="b">
        <v>1</v>
      </c>
      <c r="O6" s="18" t="b">
        <v>0</v>
      </c>
      <c r="P6" s="18" t="b">
        <v>0</v>
      </c>
      <c r="Q6" s="17" t="b">
        <v>1</v>
      </c>
      <c r="R6" s="17" t="b">
        <v>1</v>
      </c>
      <c r="S6" s="18" t="b">
        <v>0</v>
      </c>
      <c r="T6" s="18" t="b">
        <v>0</v>
      </c>
      <c r="U6" s="17" t="b">
        <v>1</v>
      </c>
      <c r="V6" s="7"/>
    </row>
    <row r="7">
      <c r="A7" s="21" t="s">
        <v>39</v>
      </c>
      <c r="B7" s="13"/>
      <c r="C7" s="14" t="s">
        <v>36</v>
      </c>
      <c r="D7" s="15" t="s">
        <v>27</v>
      </c>
      <c r="E7" s="15" t="s">
        <v>28</v>
      </c>
      <c r="F7" s="12" t="s">
        <v>29</v>
      </c>
      <c r="G7" s="17" t="s">
        <v>40</v>
      </c>
      <c r="H7" s="22">
        <v>46090.0</v>
      </c>
      <c r="I7" s="14" t="s">
        <v>38</v>
      </c>
      <c r="J7" s="18"/>
      <c r="K7" s="18"/>
      <c r="L7" s="17" t="b">
        <v>0</v>
      </c>
      <c r="M7" s="17" t="b">
        <v>0</v>
      </c>
      <c r="N7" s="17" t="b">
        <v>0</v>
      </c>
      <c r="O7" s="17" t="b">
        <v>0</v>
      </c>
      <c r="P7" s="17" t="b">
        <v>0</v>
      </c>
      <c r="Q7" s="17" t="b">
        <v>0</v>
      </c>
      <c r="R7" s="17" t="b">
        <v>0</v>
      </c>
      <c r="S7" s="17" t="b">
        <v>0</v>
      </c>
      <c r="T7" s="18" t="b">
        <v>0</v>
      </c>
      <c r="U7" s="17" t="b">
        <v>0</v>
      </c>
      <c r="V7" s="7"/>
    </row>
    <row r="8">
      <c r="A8" s="21" t="s">
        <v>41</v>
      </c>
      <c r="B8" s="13"/>
      <c r="C8" s="14" t="s">
        <v>36</v>
      </c>
      <c r="D8" s="15" t="s">
        <v>27</v>
      </c>
      <c r="E8" s="15" t="s">
        <v>28</v>
      </c>
      <c r="F8" s="12" t="s">
        <v>29</v>
      </c>
      <c r="G8" s="17" t="s">
        <v>40</v>
      </c>
      <c r="H8" s="22">
        <v>46090.0</v>
      </c>
      <c r="I8" s="14" t="s">
        <v>38</v>
      </c>
      <c r="J8" s="18"/>
      <c r="K8" s="18"/>
      <c r="L8" s="17" t="b">
        <v>0</v>
      </c>
      <c r="M8" s="17" t="b">
        <v>0</v>
      </c>
      <c r="N8" s="17" t="b">
        <v>0</v>
      </c>
      <c r="O8" s="17" t="b">
        <v>0</v>
      </c>
      <c r="P8" s="17" t="b">
        <v>0</v>
      </c>
      <c r="Q8" s="17" t="b">
        <v>0</v>
      </c>
      <c r="R8" s="17" t="b">
        <v>0</v>
      </c>
      <c r="S8" s="17" t="b">
        <v>0</v>
      </c>
      <c r="T8" s="18" t="b">
        <v>0</v>
      </c>
      <c r="U8" s="17" t="b">
        <v>0</v>
      </c>
      <c r="V8" s="7"/>
    </row>
    <row r="9">
      <c r="A9" s="21" t="s">
        <v>42</v>
      </c>
      <c r="B9" s="13"/>
      <c r="C9" s="14" t="s">
        <v>36</v>
      </c>
      <c r="D9" s="15" t="s">
        <v>27</v>
      </c>
      <c r="E9" s="15" t="s">
        <v>28</v>
      </c>
      <c r="F9" s="12" t="s">
        <v>29</v>
      </c>
      <c r="G9" s="17" t="s">
        <v>43</v>
      </c>
      <c r="H9" s="22">
        <v>46097.0</v>
      </c>
      <c r="I9" s="14" t="s">
        <v>38</v>
      </c>
      <c r="J9" s="18"/>
      <c r="K9" s="18"/>
      <c r="L9" s="17" t="b">
        <v>0</v>
      </c>
      <c r="M9" s="17" t="b">
        <v>0</v>
      </c>
      <c r="N9" s="17" t="b">
        <v>0</v>
      </c>
      <c r="O9" s="17" t="b">
        <v>0</v>
      </c>
      <c r="P9" s="17" t="b">
        <v>0</v>
      </c>
      <c r="Q9" s="17" t="b">
        <v>0</v>
      </c>
      <c r="R9" s="17" t="b">
        <v>0</v>
      </c>
      <c r="S9" s="17" t="b">
        <v>0</v>
      </c>
      <c r="T9" s="18" t="b">
        <v>0</v>
      </c>
      <c r="U9" s="17" t="b">
        <v>0</v>
      </c>
      <c r="V9" s="7"/>
    </row>
    <row r="10">
      <c r="A10" s="21" t="s">
        <v>44</v>
      </c>
      <c r="B10" s="13"/>
      <c r="C10" s="14" t="s">
        <v>36</v>
      </c>
      <c r="D10" s="15" t="s">
        <v>27</v>
      </c>
      <c r="E10" s="15" t="s">
        <v>28</v>
      </c>
      <c r="F10" s="12" t="s">
        <v>29</v>
      </c>
      <c r="G10" s="17" t="s">
        <v>43</v>
      </c>
      <c r="H10" s="22">
        <v>46097.0</v>
      </c>
      <c r="I10" s="14" t="s">
        <v>38</v>
      </c>
      <c r="J10" s="18"/>
      <c r="K10" s="18"/>
      <c r="L10" s="17" t="b">
        <v>0</v>
      </c>
      <c r="M10" s="17" t="b">
        <v>0</v>
      </c>
      <c r="N10" s="17" t="b">
        <v>0</v>
      </c>
      <c r="O10" s="17" t="b">
        <v>0</v>
      </c>
      <c r="P10" s="17" t="b">
        <v>0</v>
      </c>
      <c r="Q10" s="17" t="b">
        <v>0</v>
      </c>
      <c r="R10" s="17" t="b">
        <v>0</v>
      </c>
      <c r="S10" s="17" t="b">
        <v>0</v>
      </c>
      <c r="T10" s="18" t="b">
        <v>0</v>
      </c>
      <c r="U10" s="17" t="b">
        <v>0</v>
      </c>
      <c r="V10" s="7"/>
    </row>
    <row r="11">
      <c r="A11" s="21" t="s">
        <v>45</v>
      </c>
      <c r="B11" s="13"/>
      <c r="C11" s="14" t="s">
        <v>36</v>
      </c>
      <c r="D11" s="15" t="s">
        <v>27</v>
      </c>
      <c r="E11" s="15" t="s">
        <v>46</v>
      </c>
      <c r="F11" s="12" t="s">
        <v>29</v>
      </c>
      <c r="G11" s="17" t="s">
        <v>47</v>
      </c>
      <c r="H11" s="22">
        <v>46097.0</v>
      </c>
      <c r="I11" s="14" t="s">
        <v>38</v>
      </c>
      <c r="J11" s="18"/>
      <c r="K11" s="18"/>
      <c r="L11" s="17" t="b">
        <v>0</v>
      </c>
      <c r="M11" s="17" t="b">
        <v>0</v>
      </c>
      <c r="N11" s="17" t="b">
        <v>0</v>
      </c>
      <c r="O11" s="17" t="b">
        <v>0</v>
      </c>
      <c r="P11" s="17" t="b">
        <v>0</v>
      </c>
      <c r="Q11" s="17" t="b">
        <v>0</v>
      </c>
      <c r="R11" s="17" t="b">
        <v>0</v>
      </c>
      <c r="S11" s="17" t="b">
        <v>0</v>
      </c>
      <c r="T11" s="18" t="b">
        <v>0</v>
      </c>
      <c r="U11" s="17" t="b">
        <v>0</v>
      </c>
      <c r="V11" s="7"/>
    </row>
    <row r="12">
      <c r="A12" s="21" t="s">
        <v>48</v>
      </c>
      <c r="B12" s="13"/>
      <c r="C12" s="14" t="s">
        <v>36</v>
      </c>
      <c r="D12" s="15" t="s">
        <v>27</v>
      </c>
      <c r="E12" s="15" t="s">
        <v>46</v>
      </c>
      <c r="F12" s="12" t="s">
        <v>29</v>
      </c>
      <c r="G12" s="17" t="s">
        <v>49</v>
      </c>
      <c r="H12" s="22">
        <v>46104.0</v>
      </c>
      <c r="I12" s="14" t="s">
        <v>38</v>
      </c>
      <c r="J12" s="18"/>
      <c r="K12" s="18"/>
      <c r="L12" s="17" t="b">
        <v>0</v>
      </c>
      <c r="M12" s="17" t="b">
        <v>0</v>
      </c>
      <c r="N12" s="17" t="b">
        <v>0</v>
      </c>
      <c r="O12" s="17" t="b">
        <v>0</v>
      </c>
      <c r="P12" s="17" t="b">
        <v>0</v>
      </c>
      <c r="Q12" s="17" t="b">
        <v>0</v>
      </c>
      <c r="R12" s="17" t="b">
        <v>0</v>
      </c>
      <c r="S12" s="17" t="b">
        <v>0</v>
      </c>
      <c r="T12" s="18" t="b">
        <v>0</v>
      </c>
      <c r="U12" s="17" t="b">
        <v>0</v>
      </c>
      <c r="V12" s="7"/>
    </row>
    <row r="13">
      <c r="A13" s="20" t="s">
        <v>50</v>
      </c>
      <c r="B13" s="13"/>
      <c r="C13" s="14" t="s">
        <v>36</v>
      </c>
      <c r="D13" s="15" t="s">
        <v>37</v>
      </c>
      <c r="E13" s="15" t="s">
        <v>28</v>
      </c>
      <c r="F13" s="12" t="s">
        <v>29</v>
      </c>
      <c r="G13" s="18"/>
      <c r="H13" s="18"/>
      <c r="I13" s="14" t="s">
        <v>38</v>
      </c>
      <c r="J13" s="18"/>
      <c r="K13" s="18"/>
      <c r="L13" s="17" t="b">
        <v>1</v>
      </c>
      <c r="M13" s="17" t="b">
        <v>1</v>
      </c>
      <c r="N13" s="17" t="b">
        <v>1</v>
      </c>
      <c r="O13" s="17" t="b">
        <v>0</v>
      </c>
      <c r="P13" s="17" t="b">
        <v>1</v>
      </c>
      <c r="Q13" s="17" t="b">
        <v>1</v>
      </c>
      <c r="R13" s="17" t="b">
        <v>1</v>
      </c>
      <c r="S13" s="17" t="b">
        <v>1</v>
      </c>
      <c r="T13" s="18" t="b">
        <v>0</v>
      </c>
      <c r="U13" s="17" t="b">
        <v>1</v>
      </c>
      <c r="V13" s="7"/>
    </row>
    <row r="14">
      <c r="A14" s="12" t="s">
        <v>51</v>
      </c>
      <c r="B14" s="13"/>
      <c r="C14" s="14" t="s">
        <v>36</v>
      </c>
      <c r="D14" s="15" t="s">
        <v>27</v>
      </c>
      <c r="E14" s="15" t="s">
        <v>28</v>
      </c>
      <c r="F14" s="12" t="s">
        <v>29</v>
      </c>
      <c r="G14" s="16"/>
      <c r="H14" s="16"/>
      <c r="I14" s="14" t="s">
        <v>30</v>
      </c>
      <c r="J14" s="16"/>
      <c r="K14" s="16"/>
      <c r="L14" s="17" t="b">
        <v>1</v>
      </c>
      <c r="M14" s="17" t="b">
        <v>1</v>
      </c>
      <c r="N14" s="17" t="b">
        <v>1</v>
      </c>
      <c r="O14" s="17" t="b">
        <v>0</v>
      </c>
      <c r="P14" s="17" t="b">
        <v>1</v>
      </c>
      <c r="Q14" s="17" t="b">
        <v>1</v>
      </c>
      <c r="R14" s="17" t="b">
        <v>1</v>
      </c>
      <c r="S14" s="17" t="b">
        <v>1</v>
      </c>
      <c r="T14" s="18" t="b">
        <v>0</v>
      </c>
      <c r="U14" s="17" t="b">
        <v>1</v>
      </c>
      <c r="V14" s="7"/>
    </row>
    <row r="15">
      <c r="A15" s="12" t="s">
        <v>52</v>
      </c>
      <c r="B15" s="13"/>
      <c r="C15" s="14" t="s">
        <v>36</v>
      </c>
      <c r="D15" s="15" t="s">
        <v>27</v>
      </c>
      <c r="E15" s="15" t="s">
        <v>46</v>
      </c>
      <c r="F15" s="12" t="s">
        <v>29</v>
      </c>
      <c r="G15" s="16"/>
      <c r="H15" s="16"/>
      <c r="I15" s="14" t="s">
        <v>30</v>
      </c>
      <c r="J15" s="16"/>
      <c r="K15" s="16"/>
      <c r="L15" s="17" t="b">
        <v>1</v>
      </c>
      <c r="M15" s="17" t="b">
        <v>1</v>
      </c>
      <c r="N15" s="17" t="b">
        <v>1</v>
      </c>
      <c r="O15" s="17" t="b">
        <v>0</v>
      </c>
      <c r="P15" s="17" t="b">
        <v>1</v>
      </c>
      <c r="Q15" s="17" t="b">
        <v>1</v>
      </c>
      <c r="R15" s="17" t="b">
        <v>1</v>
      </c>
      <c r="S15" s="17" t="b">
        <v>1</v>
      </c>
      <c r="T15" s="18" t="b">
        <v>0</v>
      </c>
      <c r="U15" s="17" t="b">
        <v>1</v>
      </c>
    </row>
    <row r="16">
      <c r="A16" s="23" t="s">
        <v>53</v>
      </c>
      <c r="B16" s="13"/>
      <c r="C16" s="14" t="s">
        <v>36</v>
      </c>
      <c r="D16" s="15" t="s">
        <v>27</v>
      </c>
      <c r="E16" s="15" t="s">
        <v>28</v>
      </c>
      <c r="F16" s="12" t="s">
        <v>29</v>
      </c>
      <c r="G16" s="16"/>
      <c r="H16" s="16"/>
      <c r="I16" s="14" t="s">
        <v>30</v>
      </c>
      <c r="J16" s="16"/>
      <c r="K16" s="16"/>
      <c r="L16" s="17" t="b">
        <v>1</v>
      </c>
      <c r="M16" s="17" t="b">
        <v>1</v>
      </c>
      <c r="N16" s="17" t="b">
        <v>1</v>
      </c>
      <c r="O16" s="17" t="b">
        <v>0</v>
      </c>
      <c r="P16" s="17" t="b">
        <v>1</v>
      </c>
      <c r="Q16" s="17" t="b">
        <v>1</v>
      </c>
      <c r="R16" s="17" t="b">
        <v>1</v>
      </c>
      <c r="S16" s="18" t="b">
        <v>0</v>
      </c>
      <c r="T16" s="18" t="b">
        <v>0</v>
      </c>
      <c r="U16" s="17" t="b">
        <v>1</v>
      </c>
    </row>
    <row r="17">
      <c r="A17" s="12" t="s">
        <v>54</v>
      </c>
      <c r="B17" s="13"/>
      <c r="C17" s="14" t="s">
        <v>36</v>
      </c>
      <c r="D17" s="15" t="s">
        <v>27</v>
      </c>
      <c r="E17" s="15" t="s">
        <v>46</v>
      </c>
      <c r="F17" s="12" t="s">
        <v>29</v>
      </c>
      <c r="G17" s="16"/>
      <c r="H17" s="16"/>
      <c r="I17" s="14" t="s">
        <v>30</v>
      </c>
      <c r="J17" s="16"/>
      <c r="K17" s="16"/>
      <c r="L17" s="17" t="b">
        <v>1</v>
      </c>
      <c r="M17" s="17" t="b">
        <v>1</v>
      </c>
      <c r="N17" s="17" t="b">
        <v>1</v>
      </c>
      <c r="O17" s="17" t="b">
        <v>0</v>
      </c>
      <c r="P17" s="17" t="b">
        <v>1</v>
      </c>
      <c r="Q17" s="17" t="b">
        <v>1</v>
      </c>
      <c r="R17" s="17" t="b">
        <v>1</v>
      </c>
      <c r="S17" s="18" t="b">
        <v>0</v>
      </c>
      <c r="T17" s="18" t="b">
        <v>0</v>
      </c>
      <c r="U17" s="18" t="b">
        <v>0</v>
      </c>
    </row>
    <row r="18">
      <c r="A18" s="12" t="s">
        <v>55</v>
      </c>
      <c r="B18" s="13"/>
      <c r="C18" s="14" t="s">
        <v>36</v>
      </c>
      <c r="D18" s="15" t="s">
        <v>27</v>
      </c>
      <c r="E18" s="15" t="s">
        <v>46</v>
      </c>
      <c r="F18" s="12" t="s">
        <v>29</v>
      </c>
      <c r="G18" s="16"/>
      <c r="H18" s="16"/>
      <c r="I18" s="14" t="s">
        <v>30</v>
      </c>
      <c r="J18" s="16"/>
      <c r="K18" s="16"/>
      <c r="L18" s="17" t="b">
        <v>1</v>
      </c>
      <c r="M18" s="17" t="b">
        <v>1</v>
      </c>
      <c r="N18" s="17" t="b">
        <v>1</v>
      </c>
      <c r="O18" s="17" t="b">
        <v>0</v>
      </c>
      <c r="P18" s="17" t="b">
        <v>1</v>
      </c>
      <c r="Q18" s="17" t="b">
        <v>1</v>
      </c>
      <c r="R18" s="17" t="b">
        <v>1</v>
      </c>
      <c r="S18" s="18" t="b">
        <v>0</v>
      </c>
      <c r="T18" s="18" t="b">
        <v>0</v>
      </c>
      <c r="U18" s="17" t="b">
        <v>1</v>
      </c>
    </row>
    <row r="19">
      <c r="A19" s="20" t="s">
        <v>56</v>
      </c>
      <c r="B19" s="13"/>
      <c r="C19" s="14" t="s">
        <v>36</v>
      </c>
      <c r="D19" s="15" t="s">
        <v>27</v>
      </c>
      <c r="E19" s="15" t="s">
        <v>28</v>
      </c>
      <c r="F19" s="12" t="s">
        <v>29</v>
      </c>
      <c r="G19" s="18"/>
      <c r="H19" s="18"/>
      <c r="I19" s="14" t="s">
        <v>30</v>
      </c>
      <c r="J19" s="18"/>
      <c r="K19" s="18"/>
      <c r="L19" s="17" t="b">
        <v>1</v>
      </c>
      <c r="M19" s="17" t="b">
        <v>1</v>
      </c>
      <c r="N19" s="17" t="b">
        <v>1</v>
      </c>
      <c r="O19" s="17" t="b">
        <v>0</v>
      </c>
      <c r="P19" s="17" t="b">
        <v>1</v>
      </c>
      <c r="Q19" s="17" t="b">
        <v>1</v>
      </c>
      <c r="R19" s="17" t="b">
        <v>1</v>
      </c>
      <c r="S19" s="17" t="b">
        <v>0</v>
      </c>
      <c r="T19" s="18" t="b">
        <v>0</v>
      </c>
      <c r="U19" s="17" t="b">
        <v>1</v>
      </c>
    </row>
    <row r="20">
      <c r="A20" s="12" t="s">
        <v>57</v>
      </c>
      <c r="B20" s="13"/>
      <c r="C20" s="14" t="s">
        <v>36</v>
      </c>
      <c r="D20" s="15" t="s">
        <v>27</v>
      </c>
      <c r="E20" s="15" t="s">
        <v>28</v>
      </c>
      <c r="F20" s="12" t="s">
        <v>29</v>
      </c>
      <c r="G20" s="16"/>
      <c r="H20" s="16"/>
      <c r="I20" s="14" t="s">
        <v>30</v>
      </c>
      <c r="J20" s="16"/>
      <c r="K20" s="16"/>
      <c r="L20" s="17" t="b">
        <v>1</v>
      </c>
      <c r="M20" s="17" t="b">
        <v>1</v>
      </c>
      <c r="N20" s="17" t="b">
        <v>1</v>
      </c>
      <c r="O20" s="17" t="b">
        <v>0</v>
      </c>
      <c r="P20" s="17" t="b">
        <v>1</v>
      </c>
      <c r="Q20" s="17" t="b">
        <v>1</v>
      </c>
      <c r="R20" s="17" t="b">
        <v>1</v>
      </c>
      <c r="S20" s="17" t="b">
        <v>0</v>
      </c>
      <c r="T20" s="18" t="b">
        <v>0</v>
      </c>
      <c r="U20" s="17" t="b">
        <v>1</v>
      </c>
    </row>
    <row r="21">
      <c r="A21" s="12" t="s">
        <v>58</v>
      </c>
      <c r="B21" s="13"/>
      <c r="C21" s="14" t="s">
        <v>36</v>
      </c>
      <c r="D21" s="15" t="s">
        <v>27</v>
      </c>
      <c r="E21" s="15" t="s">
        <v>28</v>
      </c>
      <c r="F21" s="12" t="s">
        <v>29</v>
      </c>
      <c r="G21" s="16"/>
      <c r="H21" s="16"/>
      <c r="I21" s="14" t="s">
        <v>30</v>
      </c>
      <c r="J21" s="16"/>
      <c r="K21" s="16"/>
      <c r="L21" s="17" t="b">
        <v>1</v>
      </c>
      <c r="M21" s="17" t="b">
        <v>1</v>
      </c>
      <c r="N21" s="17" t="b">
        <v>1</v>
      </c>
      <c r="O21" s="17" t="b">
        <v>0</v>
      </c>
      <c r="P21" s="18" t="b">
        <v>0</v>
      </c>
      <c r="Q21" s="17" t="b">
        <v>1</v>
      </c>
      <c r="R21" s="17" t="b">
        <v>1</v>
      </c>
      <c r="S21" s="17" t="b">
        <v>1</v>
      </c>
      <c r="T21" s="18" t="b">
        <v>0</v>
      </c>
      <c r="U21" s="17" t="b">
        <v>1</v>
      </c>
    </row>
    <row r="22">
      <c r="A22" s="12" t="s">
        <v>59</v>
      </c>
      <c r="B22" s="13"/>
      <c r="C22" s="14" t="s">
        <v>9</v>
      </c>
      <c r="D22" s="15" t="s">
        <v>32</v>
      </c>
      <c r="E22" s="15" t="s">
        <v>28</v>
      </c>
      <c r="F22" s="12" t="s">
        <v>60</v>
      </c>
      <c r="G22" s="16"/>
      <c r="H22" s="24">
        <v>45567.0</v>
      </c>
      <c r="I22" s="14" t="s">
        <v>30</v>
      </c>
      <c r="J22" s="25"/>
      <c r="K22" s="16"/>
      <c r="L22" s="17" t="b">
        <v>1</v>
      </c>
      <c r="M22" s="17" t="b">
        <v>1</v>
      </c>
      <c r="N22" s="17" t="b">
        <v>1</v>
      </c>
      <c r="O22" s="17" t="b">
        <v>1</v>
      </c>
      <c r="P22" s="18" t="b">
        <v>0</v>
      </c>
      <c r="Q22" s="17" t="b">
        <v>1</v>
      </c>
      <c r="R22" s="17" t="b">
        <v>1</v>
      </c>
      <c r="S22" s="17" t="b">
        <v>1</v>
      </c>
      <c r="T22" s="18" t="b">
        <v>0</v>
      </c>
      <c r="U22" s="17" t="b">
        <v>0</v>
      </c>
    </row>
    <row r="23">
      <c r="A23" s="12" t="s">
        <v>33</v>
      </c>
      <c r="B23" s="13"/>
      <c r="C23" s="14" t="s">
        <v>9</v>
      </c>
      <c r="D23" s="15"/>
      <c r="E23" s="15"/>
      <c r="F23" s="12" t="s">
        <v>60</v>
      </c>
      <c r="G23" s="18"/>
      <c r="H23" s="18"/>
      <c r="I23" s="14" t="s">
        <v>30</v>
      </c>
      <c r="J23" s="18"/>
      <c r="K23" s="18"/>
      <c r="L23" s="17" t="b">
        <v>1</v>
      </c>
      <c r="M23" s="17" t="b">
        <v>1</v>
      </c>
      <c r="N23" s="17" t="b">
        <v>1</v>
      </c>
      <c r="O23" s="17" t="b">
        <v>1</v>
      </c>
      <c r="P23" s="18" t="b">
        <v>0</v>
      </c>
      <c r="Q23" s="17" t="b">
        <v>1</v>
      </c>
      <c r="R23" s="17" t="b">
        <v>1</v>
      </c>
      <c r="S23" s="17" t="b">
        <v>1</v>
      </c>
      <c r="T23" s="18" t="b">
        <v>0</v>
      </c>
      <c r="U23" s="18" t="b">
        <v>0</v>
      </c>
    </row>
    <row r="24">
      <c r="A24" s="12" t="s">
        <v>61</v>
      </c>
      <c r="B24" s="13"/>
      <c r="C24" s="14" t="s">
        <v>62</v>
      </c>
      <c r="D24" s="15" t="s">
        <v>27</v>
      </c>
      <c r="E24" s="15" t="s">
        <v>63</v>
      </c>
      <c r="F24" s="12" t="s">
        <v>60</v>
      </c>
      <c r="G24" s="16"/>
      <c r="H24" s="24">
        <v>45712.0</v>
      </c>
      <c r="I24" s="14" t="s">
        <v>30</v>
      </c>
      <c r="J24" s="25"/>
      <c r="K24" s="16"/>
      <c r="L24" s="17" t="b">
        <v>1</v>
      </c>
      <c r="M24" s="17" t="b">
        <v>1</v>
      </c>
      <c r="N24" s="17" t="b">
        <v>1</v>
      </c>
      <c r="O24" s="17" t="b">
        <v>1</v>
      </c>
      <c r="P24" s="18" t="b">
        <v>0</v>
      </c>
      <c r="Q24" s="17" t="b">
        <v>1</v>
      </c>
      <c r="R24" s="17" t="b">
        <v>1</v>
      </c>
      <c r="S24" s="17" t="b">
        <v>1</v>
      </c>
      <c r="T24" s="18" t="b">
        <v>0</v>
      </c>
      <c r="U24" s="18" t="b">
        <v>0</v>
      </c>
    </row>
    <row r="25">
      <c r="A25" s="12" t="s">
        <v>64</v>
      </c>
      <c r="B25" s="13"/>
      <c r="C25" s="14" t="s">
        <v>62</v>
      </c>
      <c r="D25" s="15" t="s">
        <v>27</v>
      </c>
      <c r="E25" s="15" t="s">
        <v>63</v>
      </c>
      <c r="F25" s="12" t="s">
        <v>60</v>
      </c>
      <c r="G25" s="16"/>
      <c r="H25" s="24">
        <v>45567.0</v>
      </c>
      <c r="I25" s="14" t="s">
        <v>30</v>
      </c>
      <c r="J25" s="25"/>
      <c r="K25" s="16"/>
      <c r="L25" s="17" t="b">
        <v>1</v>
      </c>
      <c r="M25" s="17" t="b">
        <v>1</v>
      </c>
      <c r="N25" s="17" t="b">
        <v>1</v>
      </c>
      <c r="O25" s="17" t="b">
        <v>1</v>
      </c>
      <c r="P25" s="18" t="b">
        <v>0</v>
      </c>
      <c r="Q25" s="17" t="b">
        <v>1</v>
      </c>
      <c r="R25" s="17" t="b">
        <v>1</v>
      </c>
      <c r="S25" s="17" t="b">
        <v>1</v>
      </c>
      <c r="T25" s="18" t="b">
        <v>0</v>
      </c>
      <c r="U25" s="18" t="b">
        <v>0</v>
      </c>
    </row>
    <row r="26">
      <c r="A26" s="12" t="s">
        <v>65</v>
      </c>
      <c r="B26" s="13"/>
      <c r="C26" s="14" t="s">
        <v>62</v>
      </c>
      <c r="D26" s="15" t="s">
        <v>37</v>
      </c>
      <c r="E26" s="15" t="s">
        <v>28</v>
      </c>
      <c r="F26" s="12" t="s">
        <v>60</v>
      </c>
      <c r="G26" s="16"/>
      <c r="H26" s="24">
        <v>45352.0</v>
      </c>
      <c r="I26" s="14" t="s">
        <v>30</v>
      </c>
      <c r="J26" s="25"/>
      <c r="K26" s="16"/>
      <c r="L26" s="17" t="b">
        <v>1</v>
      </c>
      <c r="M26" s="17" t="b">
        <v>1</v>
      </c>
      <c r="N26" s="17" t="b">
        <v>1</v>
      </c>
      <c r="O26" s="17" t="b">
        <v>1</v>
      </c>
      <c r="P26" s="18" t="b">
        <v>0</v>
      </c>
      <c r="Q26" s="17" t="b">
        <v>1</v>
      </c>
      <c r="R26" s="17" t="b">
        <v>1</v>
      </c>
      <c r="S26" s="17" t="b">
        <v>1</v>
      </c>
      <c r="T26" s="18" t="b">
        <v>0</v>
      </c>
      <c r="U26" s="18" t="b">
        <v>0</v>
      </c>
    </row>
    <row r="27">
      <c r="A27" s="23" t="s">
        <v>66</v>
      </c>
      <c r="B27" s="26" t="s">
        <v>67</v>
      </c>
      <c r="C27" s="14" t="s">
        <v>62</v>
      </c>
      <c r="D27" s="15" t="s">
        <v>27</v>
      </c>
      <c r="E27" s="15" t="s">
        <v>28</v>
      </c>
      <c r="F27" s="23" t="s">
        <v>59</v>
      </c>
      <c r="G27" s="27" t="s">
        <v>68</v>
      </c>
      <c r="H27" s="24">
        <v>46063.0</v>
      </c>
      <c r="I27" s="14" t="s">
        <v>38</v>
      </c>
      <c r="J27" s="24">
        <v>46084.0</v>
      </c>
      <c r="K27" s="18"/>
      <c r="L27" s="17" t="b">
        <v>1</v>
      </c>
      <c r="M27" s="17" t="b">
        <v>1</v>
      </c>
      <c r="N27" s="17" t="b">
        <v>1</v>
      </c>
      <c r="O27" s="17" t="b">
        <v>1</v>
      </c>
      <c r="P27" s="18" t="b">
        <v>0</v>
      </c>
      <c r="Q27" s="17" t="b">
        <v>1</v>
      </c>
      <c r="R27" s="17" t="b">
        <v>1</v>
      </c>
      <c r="S27" s="17" t="b">
        <v>1</v>
      </c>
      <c r="T27" s="18" t="b">
        <v>0</v>
      </c>
      <c r="U27" s="17" t="b">
        <v>1</v>
      </c>
    </row>
    <row r="28">
      <c r="A28" s="12" t="s">
        <v>69</v>
      </c>
      <c r="B28" s="26" t="s">
        <v>67</v>
      </c>
      <c r="C28" s="14" t="s">
        <v>62</v>
      </c>
      <c r="D28" s="15" t="s">
        <v>27</v>
      </c>
      <c r="E28" s="15" t="s">
        <v>46</v>
      </c>
      <c r="F28" s="23" t="s">
        <v>59</v>
      </c>
      <c r="G28" s="28" t="s">
        <v>70</v>
      </c>
      <c r="H28" s="29">
        <v>46027.0</v>
      </c>
      <c r="I28" s="14" t="s">
        <v>38</v>
      </c>
      <c r="J28" s="24">
        <f t="shared" ref="J28:J30" si="1">H28+21</f>
        <v>46048</v>
      </c>
      <c r="K28" s="18"/>
      <c r="L28" s="17" t="b">
        <v>1</v>
      </c>
      <c r="M28" s="17" t="b">
        <v>1</v>
      </c>
      <c r="N28" s="17" t="b">
        <v>1</v>
      </c>
      <c r="O28" s="17" t="b">
        <v>1</v>
      </c>
      <c r="P28" s="18" t="b">
        <v>0</v>
      </c>
      <c r="Q28" s="17" t="b">
        <v>1</v>
      </c>
      <c r="R28" s="17" t="b">
        <v>1</v>
      </c>
      <c r="S28" s="17" t="b">
        <v>1</v>
      </c>
      <c r="T28" s="18" t="b">
        <v>0</v>
      </c>
      <c r="U28" s="18" t="b">
        <v>0</v>
      </c>
    </row>
    <row r="29">
      <c r="A29" s="27" t="s">
        <v>71</v>
      </c>
      <c r="B29" s="26" t="s">
        <v>67</v>
      </c>
      <c r="C29" s="14" t="s">
        <v>62</v>
      </c>
      <c r="D29" s="15" t="s">
        <v>27</v>
      </c>
      <c r="E29" s="15" t="s">
        <v>28</v>
      </c>
      <c r="F29" s="23" t="s">
        <v>59</v>
      </c>
      <c r="G29" s="28" t="s">
        <v>72</v>
      </c>
      <c r="H29" s="24">
        <v>46034.0</v>
      </c>
      <c r="I29" s="14" t="s">
        <v>38</v>
      </c>
      <c r="J29" s="24">
        <f t="shared" si="1"/>
        <v>46055</v>
      </c>
      <c r="K29" s="18"/>
      <c r="L29" s="17" t="b">
        <v>1</v>
      </c>
      <c r="M29" s="17" t="b">
        <v>1</v>
      </c>
      <c r="N29" s="17" t="b">
        <v>1</v>
      </c>
      <c r="O29" s="17" t="b">
        <v>1</v>
      </c>
      <c r="P29" s="18" t="b">
        <v>0</v>
      </c>
      <c r="Q29" s="17" t="b">
        <v>1</v>
      </c>
      <c r="R29" s="17" t="b">
        <v>1</v>
      </c>
      <c r="S29" s="17" t="b">
        <v>1</v>
      </c>
      <c r="T29" s="18" t="b">
        <v>0</v>
      </c>
      <c r="U29" s="18" t="b">
        <v>0</v>
      </c>
    </row>
    <row r="30">
      <c r="A30" s="27" t="s">
        <v>70</v>
      </c>
      <c r="B30" s="26" t="s">
        <v>67</v>
      </c>
      <c r="C30" s="30" t="s">
        <v>62</v>
      </c>
      <c r="D30" s="30" t="s">
        <v>27</v>
      </c>
      <c r="E30" s="30" t="s">
        <v>73</v>
      </c>
      <c r="F30" s="12" t="s">
        <v>59</v>
      </c>
      <c r="H30" s="24">
        <v>46062.0</v>
      </c>
      <c r="I30" s="30" t="s">
        <v>38</v>
      </c>
      <c r="J30" s="24">
        <f t="shared" si="1"/>
        <v>46083</v>
      </c>
      <c r="K30" s="16"/>
      <c r="L30" s="17" t="b">
        <v>1</v>
      </c>
      <c r="M30" s="17" t="b">
        <v>1</v>
      </c>
      <c r="N30" s="17" t="b">
        <v>1</v>
      </c>
      <c r="O30" s="17" t="b">
        <v>1</v>
      </c>
      <c r="P30" s="18" t="b">
        <v>0</v>
      </c>
      <c r="Q30" s="17" t="b">
        <v>1</v>
      </c>
      <c r="R30" s="17" t="b">
        <v>1</v>
      </c>
      <c r="S30" s="17" t="b">
        <v>1</v>
      </c>
      <c r="T30" s="18" t="b">
        <v>0</v>
      </c>
      <c r="U30" s="18" t="b">
        <v>0</v>
      </c>
    </row>
    <row r="31">
      <c r="A31" s="27" t="s">
        <v>74</v>
      </c>
      <c r="B31" s="26" t="s">
        <v>67</v>
      </c>
      <c r="C31" s="30" t="s">
        <v>62</v>
      </c>
      <c r="D31" s="30" t="s">
        <v>27</v>
      </c>
      <c r="E31" s="30" t="s">
        <v>28</v>
      </c>
      <c r="F31" s="12" t="s">
        <v>59</v>
      </c>
      <c r="G31" s="28" t="s">
        <v>64</v>
      </c>
      <c r="H31" s="24">
        <v>45352.0</v>
      </c>
      <c r="I31" s="30" t="s">
        <v>30</v>
      </c>
      <c r="J31" s="25"/>
      <c r="K31" s="16"/>
      <c r="L31" s="17" t="b">
        <v>1</v>
      </c>
      <c r="M31" s="17" t="b">
        <v>1</v>
      </c>
      <c r="N31" s="17" t="b">
        <v>1</v>
      </c>
      <c r="O31" s="17" t="b">
        <v>1</v>
      </c>
      <c r="P31" s="18" t="b">
        <v>0</v>
      </c>
      <c r="Q31" s="17" t="b">
        <v>0</v>
      </c>
      <c r="R31" s="17" t="b">
        <v>1</v>
      </c>
      <c r="S31" s="17" t="b">
        <v>1</v>
      </c>
      <c r="T31" s="18" t="b">
        <v>0</v>
      </c>
      <c r="U31" s="17" t="b">
        <v>1</v>
      </c>
    </row>
    <row r="32">
      <c r="A32" s="27" t="s">
        <v>75</v>
      </c>
      <c r="B32" s="26" t="s">
        <v>76</v>
      </c>
      <c r="C32" s="30" t="s">
        <v>62</v>
      </c>
      <c r="D32" s="30" t="s">
        <v>27</v>
      </c>
      <c r="E32" s="30" t="s">
        <v>73</v>
      </c>
      <c r="F32" s="12" t="s">
        <v>77</v>
      </c>
      <c r="G32" s="14"/>
      <c r="H32" s="24">
        <v>46043.0</v>
      </c>
      <c r="I32" s="30" t="s">
        <v>38</v>
      </c>
      <c r="J32" s="24">
        <f>H32+21</f>
        <v>46064</v>
      </c>
      <c r="K32" s="16"/>
      <c r="L32" s="17" t="b">
        <v>1</v>
      </c>
      <c r="M32" s="17" t="b">
        <v>1</v>
      </c>
      <c r="N32" s="17" t="b">
        <v>1</v>
      </c>
      <c r="O32" s="17" t="b">
        <v>1</v>
      </c>
      <c r="P32" s="18" t="b">
        <v>0</v>
      </c>
      <c r="Q32" s="17" t="b">
        <v>1</v>
      </c>
      <c r="R32" s="17" t="b">
        <v>1</v>
      </c>
      <c r="S32" s="17" t="b">
        <v>1</v>
      </c>
      <c r="T32" s="18" t="b">
        <v>0</v>
      </c>
      <c r="U32" s="18" t="b">
        <v>0</v>
      </c>
    </row>
    <row r="33">
      <c r="A33" s="27" t="s">
        <v>68</v>
      </c>
      <c r="B33" s="13"/>
      <c r="C33" s="30" t="s">
        <v>62</v>
      </c>
      <c r="D33" s="30" t="s">
        <v>32</v>
      </c>
      <c r="E33" s="30" t="s">
        <v>28</v>
      </c>
      <c r="F33" s="12" t="s">
        <v>77</v>
      </c>
      <c r="G33" s="16"/>
      <c r="H33" s="31">
        <v>45883.0</v>
      </c>
      <c r="I33" s="30" t="s">
        <v>30</v>
      </c>
      <c r="J33" s="25"/>
      <c r="K33" s="16"/>
      <c r="L33" s="17" t="b">
        <v>1</v>
      </c>
      <c r="M33" s="17" t="b">
        <v>1</v>
      </c>
      <c r="N33" s="17" t="b">
        <v>1</v>
      </c>
      <c r="O33" s="17" t="b">
        <v>1</v>
      </c>
      <c r="P33" s="18" t="b">
        <v>0</v>
      </c>
      <c r="Q33" s="17" t="b">
        <v>1</v>
      </c>
      <c r="R33" s="17" t="b">
        <v>1</v>
      </c>
      <c r="S33" s="17" t="b">
        <v>1</v>
      </c>
      <c r="T33" s="18" t="b">
        <v>0</v>
      </c>
      <c r="U33" s="18" t="b">
        <v>0</v>
      </c>
    </row>
    <row r="34">
      <c r="A34" s="32" t="s">
        <v>78</v>
      </c>
      <c r="B34" s="26" t="s">
        <v>76</v>
      </c>
      <c r="C34" s="30" t="s">
        <v>62</v>
      </c>
      <c r="D34" s="30" t="s">
        <v>27</v>
      </c>
      <c r="E34" s="30" t="s">
        <v>73</v>
      </c>
      <c r="F34" s="19" t="s">
        <v>33</v>
      </c>
      <c r="G34" s="28" t="s">
        <v>65</v>
      </c>
      <c r="H34" s="24">
        <v>46062.0</v>
      </c>
      <c r="I34" s="14" t="s">
        <v>38</v>
      </c>
      <c r="J34" s="24">
        <f t="shared" ref="J34:J35" si="2">H34+21</f>
        <v>46083</v>
      </c>
      <c r="K34" s="16"/>
      <c r="L34" s="17" t="b">
        <v>1</v>
      </c>
      <c r="M34" s="17" t="b">
        <v>1</v>
      </c>
      <c r="N34" s="17" t="b">
        <v>1</v>
      </c>
      <c r="O34" s="17" t="b">
        <v>1</v>
      </c>
      <c r="P34" s="18" t="b">
        <v>0</v>
      </c>
      <c r="Q34" s="17" t="b">
        <v>1</v>
      </c>
      <c r="R34" s="17" t="b">
        <v>1</v>
      </c>
      <c r="S34" s="17" t="b">
        <v>1</v>
      </c>
      <c r="T34" s="18" t="b">
        <v>0</v>
      </c>
      <c r="U34" s="18" t="b">
        <v>0</v>
      </c>
    </row>
    <row r="35">
      <c r="A35" s="27" t="s">
        <v>79</v>
      </c>
      <c r="B35" s="26" t="s">
        <v>76</v>
      </c>
      <c r="C35" s="30" t="s">
        <v>62</v>
      </c>
      <c r="D35" s="30" t="s">
        <v>27</v>
      </c>
      <c r="E35" s="30" t="s">
        <v>28</v>
      </c>
      <c r="F35" s="19" t="s">
        <v>33</v>
      </c>
      <c r="G35" s="33" t="s">
        <v>61</v>
      </c>
      <c r="H35" s="29">
        <v>46027.0</v>
      </c>
      <c r="I35" s="34" t="s">
        <v>38</v>
      </c>
      <c r="J35" s="24">
        <f t="shared" si="2"/>
        <v>46048</v>
      </c>
      <c r="K35" s="35"/>
      <c r="L35" s="17" t="b">
        <v>1</v>
      </c>
      <c r="M35" s="17" t="b">
        <v>1</v>
      </c>
      <c r="N35" s="17" t="b">
        <v>1</v>
      </c>
      <c r="O35" s="17" t="b">
        <v>1</v>
      </c>
      <c r="P35" s="18" t="b">
        <v>0</v>
      </c>
      <c r="Q35" s="17" t="b">
        <v>1</v>
      </c>
      <c r="R35" s="17" t="b">
        <v>1</v>
      </c>
      <c r="S35" s="17" t="b">
        <v>1</v>
      </c>
      <c r="T35" s="18" t="b">
        <v>0</v>
      </c>
      <c r="U35" s="18" t="b">
        <v>0</v>
      </c>
    </row>
    <row r="36">
      <c r="A36" s="12" t="s">
        <v>72</v>
      </c>
      <c r="B36" s="13"/>
      <c r="C36" s="14" t="s">
        <v>62</v>
      </c>
      <c r="D36" s="15" t="s">
        <v>27</v>
      </c>
      <c r="E36" s="15" t="s">
        <v>28</v>
      </c>
      <c r="F36" s="12" t="s">
        <v>33</v>
      </c>
      <c r="G36" s="36"/>
      <c r="H36" s="24">
        <v>45870.0</v>
      </c>
      <c r="I36" s="14" t="s">
        <v>30</v>
      </c>
      <c r="J36" s="25"/>
      <c r="K36" s="16"/>
      <c r="L36" s="17" t="b">
        <v>1</v>
      </c>
      <c r="M36" s="17" t="b">
        <v>1</v>
      </c>
      <c r="N36" s="17" t="b">
        <v>1</v>
      </c>
      <c r="O36" s="17" t="b">
        <v>1</v>
      </c>
      <c r="P36" s="17" t="b">
        <v>1</v>
      </c>
      <c r="Q36" s="17" t="b">
        <v>1</v>
      </c>
      <c r="R36" s="17" t="b">
        <v>1</v>
      </c>
      <c r="S36" s="18" t="b">
        <v>0</v>
      </c>
      <c r="T36" s="18" t="b">
        <v>0</v>
      </c>
      <c r="U36" s="17" t="b">
        <v>1</v>
      </c>
    </row>
    <row r="37">
      <c r="A37" s="37" t="s">
        <v>80</v>
      </c>
      <c r="B37" s="26" t="s">
        <v>67</v>
      </c>
      <c r="C37" s="30" t="s">
        <v>62</v>
      </c>
      <c r="D37" s="30" t="s">
        <v>27</v>
      </c>
      <c r="E37" s="30" t="s">
        <v>28</v>
      </c>
      <c r="F37" s="12" t="s">
        <v>33</v>
      </c>
      <c r="G37" s="36"/>
      <c r="H37" s="24">
        <v>45778.0</v>
      </c>
      <c r="I37" s="14" t="s">
        <v>30</v>
      </c>
      <c r="J37" s="25"/>
      <c r="K37" s="16"/>
      <c r="L37" s="17" t="b">
        <v>1</v>
      </c>
      <c r="M37" s="17" t="b">
        <v>1</v>
      </c>
      <c r="N37" s="17" t="b">
        <v>1</v>
      </c>
      <c r="O37" s="17" t="b">
        <v>1</v>
      </c>
      <c r="P37" s="17" t="b">
        <v>1</v>
      </c>
      <c r="Q37" s="17" t="b">
        <v>1</v>
      </c>
      <c r="R37" s="17" t="b">
        <v>1</v>
      </c>
      <c r="S37" s="17" t="b">
        <v>1</v>
      </c>
      <c r="T37" s="18" t="b">
        <v>0</v>
      </c>
      <c r="U37" s="17" t="b">
        <v>1</v>
      </c>
    </row>
  </sheetData>
  <autoFilter ref="$A$2:$AB$37"/>
  <mergeCells count="3">
    <mergeCell ref="B1:H1"/>
    <mergeCell ref="I1:K1"/>
    <mergeCell ref="L1:U1"/>
  </mergeCells>
  <dataValidations>
    <dataValidation type="list" allowBlank="1" sqref="D3:D37">
      <formula1>"SMB,Mid Market,ENT"</formula1>
    </dataValidation>
    <dataValidation type="list" allowBlank="1" sqref="I3:I37">
      <formula1>"ramped,ramping"</formula1>
    </dataValidation>
    <dataValidation type="list" allowBlank="1" sqref="E3:E37">
      <formula1>"NYC,Tampa,SF,Remote"</formula1>
    </dataValidation>
    <dataValidation type="list" allowBlank="1" showErrorMessage="1" sqref="C3:C37">
      <formula1>"AE,SDR,Manager,SDR Team Lead"</formula1>
    </dataValidation>
    <dataValidation type="list" allowBlank="1" sqref="B3:B37">
      <formula1>"M1,M2,M3,M4+"</formula1>
    </dataValidation>
  </dataValidations>
  <hyperlinks>
    <hyperlink r:id="rId1" ref="A3"/>
    <hyperlink r:id="rId2" ref="F3"/>
    <hyperlink r:id="rId3" ref="A4"/>
    <hyperlink r:id="rId4" ref="F4"/>
    <hyperlink r:id="rId5" ref="A5"/>
    <hyperlink r:id="rId6" ref="F5"/>
    <hyperlink r:id="rId7" ref="F6"/>
    <hyperlink r:id="rId8" ref="F7"/>
    <hyperlink r:id="rId9" ref="F8"/>
    <hyperlink r:id="rId10" ref="F9"/>
    <hyperlink r:id="rId11" ref="F10"/>
    <hyperlink r:id="rId12" ref="F11"/>
    <hyperlink r:id="rId13" ref="F12"/>
    <hyperlink r:id="rId14" ref="F13"/>
    <hyperlink r:id="rId15" ref="A14"/>
    <hyperlink r:id="rId16" ref="F14"/>
    <hyperlink r:id="rId17" ref="A15"/>
    <hyperlink r:id="rId18" ref="F15"/>
    <hyperlink r:id="rId19" ref="A16"/>
    <hyperlink r:id="rId20" ref="F16"/>
    <hyperlink r:id="rId21" ref="A17"/>
    <hyperlink r:id="rId22" ref="F17"/>
    <hyperlink r:id="rId23" ref="A18"/>
    <hyperlink r:id="rId24" ref="F18"/>
    <hyperlink r:id="rId25" ref="F19"/>
    <hyperlink r:id="rId26" ref="A20"/>
    <hyperlink r:id="rId27" ref="F20"/>
    <hyperlink r:id="rId28" ref="A21"/>
    <hyperlink r:id="rId29" ref="F21"/>
    <hyperlink r:id="rId30" ref="A22"/>
    <hyperlink r:id="rId31" ref="F22"/>
    <hyperlink r:id="rId32" ref="A23"/>
    <hyperlink r:id="rId33" ref="F23"/>
    <hyperlink r:id="rId34" ref="A24"/>
    <hyperlink r:id="rId35" ref="F24"/>
    <hyperlink r:id="rId36" ref="A25"/>
    <hyperlink r:id="rId37" ref="F25"/>
    <hyperlink r:id="rId38" ref="A26"/>
    <hyperlink r:id="rId39" ref="F26"/>
    <hyperlink r:id="rId40" ref="A27"/>
    <hyperlink r:id="rId41" ref="F27"/>
    <hyperlink r:id="rId42" ref="G27"/>
    <hyperlink r:id="rId43" ref="A28"/>
    <hyperlink r:id="rId44" ref="F28"/>
    <hyperlink r:id="rId45" ref="G28"/>
    <hyperlink r:id="rId46" ref="A29"/>
    <hyperlink r:id="rId47" ref="F29"/>
    <hyperlink r:id="rId48" ref="G29"/>
    <hyperlink r:id="rId49" ref="A30"/>
    <hyperlink r:id="rId50" ref="F30"/>
    <hyperlink r:id="rId51" ref="A31"/>
    <hyperlink r:id="rId52" ref="F31"/>
    <hyperlink r:id="rId53" ref="G31"/>
    <hyperlink r:id="rId54" ref="A32"/>
    <hyperlink r:id="rId55" ref="F32"/>
    <hyperlink r:id="rId56" ref="A33"/>
    <hyperlink r:id="rId57" ref="F33"/>
    <hyperlink r:id="rId58" ref="A34"/>
    <hyperlink r:id="rId59" ref="F34"/>
    <hyperlink r:id="rId60" ref="G34"/>
    <hyperlink r:id="rId61" ref="A35"/>
    <hyperlink r:id="rId62" ref="F35"/>
    <hyperlink r:id="rId63" ref="G35"/>
    <hyperlink r:id="rId64" ref="A36"/>
    <hyperlink r:id="rId65" ref="F36"/>
    <hyperlink r:id="rId66" ref="A37"/>
    <hyperlink r:id="rId67" ref="F37"/>
  </hyperlinks>
  <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3" width="7.75"/>
    <col customWidth="1" min="5" max="5" width="8.13"/>
    <col customWidth="1" min="6" max="6" width="20.5"/>
    <col customWidth="1" min="7" max="7" width="16.13"/>
    <col customWidth="1" min="9" max="9" width="16.38"/>
    <col customWidth="1" min="10" max="10" width="34.0"/>
    <col customWidth="1" min="11" max="11" width="17.88"/>
    <col customWidth="1" min="12" max="12" width="11.75"/>
    <col customWidth="1" min="13" max="13" width="23.13"/>
    <col customWidth="1" min="14" max="14" width="12.38"/>
    <col customWidth="1" min="15" max="15" width="13.88"/>
    <col customWidth="1" min="16" max="16" width="12.63"/>
  </cols>
  <sheetData>
    <row r="1">
      <c r="A1" s="38" t="s">
        <v>81</v>
      </c>
      <c r="B1" s="38"/>
      <c r="C1" s="39" t="s">
        <v>1</v>
      </c>
      <c r="D1" s="3"/>
      <c r="E1" s="3"/>
      <c r="F1" s="3"/>
      <c r="G1" s="3"/>
      <c r="H1" s="4"/>
      <c r="I1" s="40" t="s">
        <v>2</v>
      </c>
      <c r="J1" s="3"/>
      <c r="K1" s="3"/>
      <c r="L1" s="4"/>
      <c r="M1" s="41"/>
      <c r="N1" s="41"/>
      <c r="O1" s="41"/>
      <c r="P1" s="41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</row>
    <row r="2">
      <c r="A2" s="43" t="s">
        <v>4</v>
      </c>
      <c r="B2" s="43"/>
      <c r="C2" s="43" t="s">
        <v>6</v>
      </c>
      <c r="D2" s="43" t="s">
        <v>7</v>
      </c>
      <c r="E2" s="43" t="s">
        <v>8</v>
      </c>
      <c r="F2" s="43" t="s">
        <v>9</v>
      </c>
      <c r="G2" s="43" t="s">
        <v>10</v>
      </c>
      <c r="H2" s="43" t="s">
        <v>82</v>
      </c>
      <c r="I2" s="43" t="s">
        <v>83</v>
      </c>
      <c r="J2" s="43" t="s">
        <v>84</v>
      </c>
      <c r="K2" s="43" t="s">
        <v>12</v>
      </c>
      <c r="L2" s="43" t="s">
        <v>85</v>
      </c>
      <c r="M2" s="43" t="s">
        <v>84</v>
      </c>
      <c r="N2" s="43" t="s">
        <v>86</v>
      </c>
      <c r="O2" s="43" t="s">
        <v>87</v>
      </c>
      <c r="P2" s="43" t="s">
        <v>88</v>
      </c>
      <c r="Q2" s="43" t="s">
        <v>89</v>
      </c>
      <c r="R2" s="43" t="s">
        <v>90</v>
      </c>
      <c r="S2" s="43"/>
      <c r="T2" s="43"/>
      <c r="U2" s="43"/>
      <c r="V2" s="43"/>
      <c r="W2" s="44"/>
      <c r="X2" s="44"/>
      <c r="Y2" s="44"/>
      <c r="Z2" s="44"/>
      <c r="AA2" s="44"/>
      <c r="AB2" s="44"/>
      <c r="AC2" s="44"/>
      <c r="AD2" s="44"/>
    </row>
    <row r="3">
      <c r="A3" s="17" t="s">
        <v>50</v>
      </c>
      <c r="B3" s="17"/>
      <c r="C3" s="17" t="s">
        <v>36</v>
      </c>
      <c r="D3" s="17" t="s">
        <v>91</v>
      </c>
      <c r="E3" s="17" t="s">
        <v>28</v>
      </c>
      <c r="F3" s="17" t="s">
        <v>29</v>
      </c>
      <c r="G3" s="17" t="s">
        <v>25</v>
      </c>
      <c r="H3" s="45">
        <v>46065.0</v>
      </c>
      <c r="I3" s="45">
        <v>46079.0</v>
      </c>
      <c r="J3" s="46" t="s">
        <v>92</v>
      </c>
      <c r="K3" s="46" t="s">
        <v>93</v>
      </c>
      <c r="L3" s="47">
        <v>46092.0</v>
      </c>
      <c r="M3" s="17" t="s">
        <v>94</v>
      </c>
      <c r="N3" s="48">
        <v>8.0</v>
      </c>
      <c r="O3" s="48">
        <v>4.0</v>
      </c>
      <c r="P3" s="49">
        <v>0.0</v>
      </c>
      <c r="Q3" s="17" t="s">
        <v>95</v>
      </c>
      <c r="R3" s="17" t="s">
        <v>96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>
      <c r="A4" s="17" t="s">
        <v>97</v>
      </c>
      <c r="B4" s="17"/>
      <c r="C4" s="17" t="s">
        <v>36</v>
      </c>
      <c r="D4" s="17" t="s">
        <v>91</v>
      </c>
      <c r="E4" s="17" t="s">
        <v>28</v>
      </c>
      <c r="F4" s="17" t="s">
        <v>29</v>
      </c>
      <c r="G4" s="17" t="s">
        <v>25</v>
      </c>
      <c r="H4" s="45">
        <v>46065.0</v>
      </c>
      <c r="I4" s="45">
        <v>46079.0</v>
      </c>
      <c r="J4" s="46" t="s">
        <v>92</v>
      </c>
      <c r="K4" s="46" t="s">
        <v>93</v>
      </c>
      <c r="L4" s="47">
        <v>46092.0</v>
      </c>
      <c r="M4" s="17" t="s">
        <v>94</v>
      </c>
      <c r="N4" s="50">
        <v>12.0</v>
      </c>
      <c r="O4" s="50">
        <v>9.0</v>
      </c>
      <c r="P4" s="51">
        <v>9588.0</v>
      </c>
      <c r="Q4" s="17" t="s">
        <v>95</v>
      </c>
      <c r="R4" s="17" t="s">
        <v>98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>
      <c r="A5" s="17" t="s">
        <v>39</v>
      </c>
      <c r="B5" s="17"/>
      <c r="C5" s="17" t="s">
        <v>36</v>
      </c>
      <c r="D5" s="17" t="s">
        <v>91</v>
      </c>
      <c r="E5" s="17" t="s">
        <v>28</v>
      </c>
      <c r="F5" s="17" t="s">
        <v>29</v>
      </c>
      <c r="G5" s="17" t="s">
        <v>40</v>
      </c>
      <c r="H5" s="45">
        <v>46090.0</v>
      </c>
      <c r="I5" s="45">
        <v>46094.0</v>
      </c>
      <c r="J5" s="46" t="s">
        <v>99</v>
      </c>
      <c r="K5" s="46" t="s">
        <v>93</v>
      </c>
      <c r="L5" s="52">
        <v>46109.0</v>
      </c>
      <c r="M5" s="17" t="s">
        <v>100</v>
      </c>
      <c r="N5" s="53">
        <v>5.0</v>
      </c>
      <c r="O5" s="53">
        <v>2.0</v>
      </c>
      <c r="P5" s="54">
        <v>0.0</v>
      </c>
      <c r="Q5" s="17" t="s">
        <v>95</v>
      </c>
      <c r="R5" s="17" t="s">
        <v>101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>
      <c r="A6" s="17" t="s">
        <v>41</v>
      </c>
      <c r="B6" s="17"/>
      <c r="C6" s="17" t="s">
        <v>36</v>
      </c>
      <c r="D6" s="17" t="s">
        <v>91</v>
      </c>
      <c r="E6" s="17" t="s">
        <v>28</v>
      </c>
      <c r="F6" s="17" t="s">
        <v>29</v>
      </c>
      <c r="G6" s="17" t="s">
        <v>40</v>
      </c>
      <c r="H6" s="45">
        <v>46090.0</v>
      </c>
      <c r="I6" s="45">
        <v>46094.0</v>
      </c>
      <c r="J6" s="46" t="s">
        <v>99</v>
      </c>
      <c r="K6" s="46" t="s">
        <v>93</v>
      </c>
      <c r="L6" s="52">
        <v>46109.0</v>
      </c>
      <c r="M6" s="17" t="s">
        <v>100</v>
      </c>
      <c r="N6" s="53">
        <v>7.0</v>
      </c>
      <c r="O6" s="53">
        <v>1.0</v>
      </c>
      <c r="P6" s="54">
        <v>0.0</v>
      </c>
      <c r="Q6" s="17" t="s">
        <v>95</v>
      </c>
      <c r="R6" s="17" t="s">
        <v>101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>
      <c r="A7" s="17" t="s">
        <v>42</v>
      </c>
      <c r="B7" s="17"/>
      <c r="C7" s="17" t="s">
        <v>36</v>
      </c>
      <c r="D7" s="17" t="s">
        <v>91</v>
      </c>
      <c r="E7" s="17" t="s">
        <v>28</v>
      </c>
      <c r="F7" s="17" t="s">
        <v>29</v>
      </c>
      <c r="G7" s="17" t="s">
        <v>43</v>
      </c>
      <c r="H7" s="45">
        <v>46097.0</v>
      </c>
      <c r="I7" s="45">
        <v>46101.0</v>
      </c>
      <c r="J7" s="46" t="s">
        <v>99</v>
      </c>
      <c r="K7" s="46" t="s">
        <v>93</v>
      </c>
      <c r="L7" s="52">
        <v>46118.0</v>
      </c>
      <c r="M7" s="17" t="s">
        <v>100</v>
      </c>
      <c r="N7" s="53">
        <v>5.0</v>
      </c>
      <c r="O7" s="53">
        <v>1.0</v>
      </c>
      <c r="P7" s="54">
        <v>0.0</v>
      </c>
      <c r="Q7" s="18"/>
      <c r="R7" s="17" t="s">
        <v>101</v>
      </c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>
      <c r="A8" s="17" t="s">
        <v>44</v>
      </c>
      <c r="B8" s="17"/>
      <c r="C8" s="17" t="s">
        <v>36</v>
      </c>
      <c r="D8" s="17" t="s">
        <v>91</v>
      </c>
      <c r="E8" s="17" t="s">
        <v>28</v>
      </c>
      <c r="F8" s="17" t="s">
        <v>29</v>
      </c>
      <c r="G8" s="17" t="s">
        <v>43</v>
      </c>
      <c r="H8" s="45">
        <v>46097.0</v>
      </c>
      <c r="I8" s="45">
        <v>46101.0</v>
      </c>
      <c r="J8" s="46" t="s">
        <v>99</v>
      </c>
      <c r="K8" s="46" t="s">
        <v>93</v>
      </c>
      <c r="L8" s="52">
        <v>46118.0</v>
      </c>
      <c r="M8" s="17" t="s">
        <v>100</v>
      </c>
      <c r="N8" s="53">
        <v>2.0</v>
      </c>
      <c r="O8" s="53">
        <v>0.0</v>
      </c>
      <c r="P8" s="54">
        <v>0.0</v>
      </c>
      <c r="Q8" s="18"/>
      <c r="R8" s="17" t="s">
        <v>101</v>
      </c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>
      <c r="A9" s="17" t="s">
        <v>45</v>
      </c>
      <c r="B9" s="17"/>
      <c r="C9" s="17" t="s">
        <v>36</v>
      </c>
      <c r="D9" s="17" t="s">
        <v>91</v>
      </c>
      <c r="E9" s="17" t="s">
        <v>46</v>
      </c>
      <c r="F9" s="17" t="s">
        <v>29</v>
      </c>
      <c r="G9" s="17" t="s">
        <v>47</v>
      </c>
      <c r="H9" s="45">
        <v>46097.0</v>
      </c>
      <c r="I9" s="45">
        <v>46101.0</v>
      </c>
      <c r="J9" s="46" t="s">
        <v>99</v>
      </c>
      <c r="K9" s="46" t="s">
        <v>93</v>
      </c>
      <c r="L9" s="52">
        <v>46118.0</v>
      </c>
      <c r="M9" s="17" t="s">
        <v>100</v>
      </c>
      <c r="N9" s="53">
        <v>2.0</v>
      </c>
      <c r="O9" s="53">
        <v>0.0</v>
      </c>
      <c r="P9" s="54">
        <v>0.0</v>
      </c>
      <c r="Q9" s="18"/>
      <c r="R9" s="17" t="s">
        <v>101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>
      <c r="A10" s="17" t="s">
        <v>48</v>
      </c>
      <c r="B10" s="17"/>
      <c r="C10" s="17" t="s">
        <v>36</v>
      </c>
      <c r="D10" s="17" t="s">
        <v>91</v>
      </c>
      <c r="E10" s="17" t="s">
        <v>46</v>
      </c>
      <c r="F10" s="17" t="s">
        <v>29</v>
      </c>
      <c r="G10" s="17" t="s">
        <v>49</v>
      </c>
      <c r="H10" s="45">
        <v>46104.0</v>
      </c>
      <c r="I10" s="45">
        <v>46108.0</v>
      </c>
      <c r="J10" s="46" t="s">
        <v>99</v>
      </c>
      <c r="K10" s="17" t="s">
        <v>95</v>
      </c>
      <c r="L10" s="17" t="s">
        <v>95</v>
      </c>
      <c r="M10" s="17" t="s">
        <v>95</v>
      </c>
      <c r="N10" s="53">
        <v>0.0</v>
      </c>
      <c r="O10" s="53">
        <v>0.0</v>
      </c>
      <c r="P10" s="54">
        <v>0.0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</sheetData>
  <mergeCells count="2">
    <mergeCell ref="C1:H1"/>
    <mergeCell ref="I1:L1"/>
  </mergeCells>
  <dataValidations>
    <dataValidation type="list" allowBlank="1" showErrorMessage="1" sqref="F3:F10">
      <formula1>"Brian Sufalko"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4" width="21.75"/>
    <col customWidth="1" min="6" max="6" width="23.0"/>
    <col customWidth="1" min="7" max="7" width="23.13"/>
  </cols>
  <sheetData>
    <row r="1">
      <c r="A1" s="55" t="s">
        <v>36</v>
      </c>
      <c r="B1" s="55" t="s">
        <v>102</v>
      </c>
      <c r="C1" s="55" t="s">
        <v>37</v>
      </c>
      <c r="D1" s="55" t="s">
        <v>32</v>
      </c>
      <c r="E1" s="7"/>
      <c r="F1" s="7"/>
      <c r="G1" s="30" t="s">
        <v>103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 t="s">
        <v>104</v>
      </c>
      <c r="B2" s="30" t="s">
        <v>105</v>
      </c>
      <c r="C2" s="30" t="s">
        <v>106</v>
      </c>
      <c r="D2" s="30" t="s">
        <v>107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 t="s">
        <v>108</v>
      </c>
      <c r="B3" s="30" t="s">
        <v>109</v>
      </c>
      <c r="C3" s="30" t="s">
        <v>106</v>
      </c>
      <c r="D3" s="30" t="s">
        <v>110</v>
      </c>
      <c r="E3" s="7"/>
      <c r="F3" s="7"/>
      <c r="G3" s="32" t="s">
        <v>66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 t="s">
        <v>111</v>
      </c>
      <c r="B4" s="30" t="s">
        <v>112</v>
      </c>
      <c r="C4" s="30" t="s">
        <v>106</v>
      </c>
      <c r="D4" s="30" t="s">
        <v>110</v>
      </c>
      <c r="E4" s="7"/>
      <c r="F4" s="7"/>
      <c r="G4" s="32" t="s">
        <v>80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 t="s">
        <v>113</v>
      </c>
      <c r="B5" s="7" t="s">
        <v>114</v>
      </c>
      <c r="C5" s="30" t="s">
        <v>115</v>
      </c>
      <c r="D5" s="30" t="s">
        <v>110</v>
      </c>
      <c r="E5" s="7"/>
      <c r="F5" s="7"/>
      <c r="G5" s="32" t="s">
        <v>78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 t="s">
        <v>116</v>
      </c>
      <c r="B6" s="7" t="s">
        <v>105</v>
      </c>
      <c r="C6" s="30" t="s">
        <v>115</v>
      </c>
      <c r="D6" s="30" t="s">
        <v>107</v>
      </c>
      <c r="E6" s="7"/>
      <c r="F6" s="7"/>
      <c r="G6" s="27" t="s">
        <v>74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 t="s">
        <v>117</v>
      </c>
      <c r="B7" s="7" t="s">
        <v>114</v>
      </c>
      <c r="C7" s="30" t="s">
        <v>106</v>
      </c>
      <c r="D7" s="30" t="s">
        <v>110</v>
      </c>
      <c r="E7" s="7"/>
      <c r="F7" s="7"/>
      <c r="G7" s="27" t="s">
        <v>69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118</v>
      </c>
      <c r="B8" s="7" t="s">
        <v>112</v>
      </c>
      <c r="C8" s="30" t="s">
        <v>106</v>
      </c>
      <c r="D8" s="30" t="s">
        <v>110</v>
      </c>
      <c r="E8" s="7"/>
      <c r="F8" s="7"/>
      <c r="G8" s="27" t="s">
        <v>71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119</v>
      </c>
      <c r="B9" s="30" t="s">
        <v>112</v>
      </c>
      <c r="C9" s="30" t="s">
        <v>115</v>
      </c>
      <c r="D9" s="30" t="s">
        <v>107</v>
      </c>
      <c r="E9" s="7"/>
      <c r="F9" s="7"/>
      <c r="G9" s="27" t="s">
        <v>79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120</v>
      </c>
      <c r="B10" s="7" t="s">
        <v>109</v>
      </c>
      <c r="C10" s="30" t="s">
        <v>106</v>
      </c>
      <c r="D10" s="30" t="s">
        <v>107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0" t="s">
        <v>121</v>
      </c>
      <c r="B11" s="30" t="s">
        <v>105</v>
      </c>
      <c r="C11" s="30" t="s">
        <v>106</v>
      </c>
      <c r="D11" s="30" t="s">
        <v>107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0"/>
      <c r="B12" s="30" t="s">
        <v>109</v>
      </c>
      <c r="C12" s="30" t="s">
        <v>115</v>
      </c>
      <c r="D12" s="30" t="s">
        <v>107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122</v>
      </c>
      <c r="B13" s="30" t="s">
        <v>123</v>
      </c>
      <c r="C13" s="30" t="s">
        <v>106</v>
      </c>
      <c r="D13" s="30" t="s">
        <v>110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0" t="s">
        <v>36</v>
      </c>
      <c r="B14" s="30" t="s">
        <v>123</v>
      </c>
      <c r="C14" s="30" t="s">
        <v>106</v>
      </c>
      <c r="D14" s="30" t="s">
        <v>110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 t="s">
        <v>124</v>
      </c>
      <c r="B15" s="30" t="s">
        <v>123</v>
      </c>
      <c r="C15" s="30" t="s">
        <v>106</v>
      </c>
      <c r="D15" s="30" t="s">
        <v>107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0" t="s">
        <v>125</v>
      </c>
      <c r="B16" s="30" t="s">
        <v>123</v>
      </c>
      <c r="C16" s="30" t="s">
        <v>106</v>
      </c>
      <c r="D16" s="30" t="s">
        <v>95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0" t="s">
        <v>126</v>
      </c>
      <c r="B17" s="30" t="s">
        <v>123</v>
      </c>
      <c r="C17" s="30" t="s">
        <v>106</v>
      </c>
      <c r="D17" s="30" t="s">
        <v>95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 t="s">
        <v>127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 t="s">
        <v>128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$A$1:$D$17">
    <sortState ref="A1:D17">
      <sortCondition ref="A1:A17"/>
      <sortCondition ref="B1:B17"/>
    </sortState>
  </autoFilter>
  <customSheetViews>
    <customSheetView guid="{F4A7363F-F7BD-4CFC-8033-6B425F9C9509}" filter="1" showAutoFilter="1">
      <autoFilter ref="$A$1:$D$17"/>
    </customSheetView>
    <customSheetView guid="{9BB3DD15-0992-4663-A619-74A6B18EF59D}" filter="1" showAutoFilter="1">
      <autoFilter ref="$A$1:$D$17"/>
    </customSheetView>
  </customSheetViews>
  <dataValidations>
    <dataValidation type="list" allowBlank="1" showErrorMessage="1" sqref="A2:A17">
      <formula1>"ENT: Danny,ENT: Ty,SMB: Balor,MM: Brad,MM: Chandler,MM: James,MM: Josue,MM: Olivia,MM: Peter,MM: Spencer,SDR,SMB: Ben,SMB: Bentley,SMB: Lexi,MM: Vianny,Jake,Emma"</formula1>
    </dataValidation>
    <dataValidation type="list" allowBlank="1" showErrorMessage="1" sqref="C2:D17">
      <formula1>"Alex,Alexis,Devyn,James,Jeff,Matt,Sarra,TBD,Nick"</formula1>
    </dataValidation>
    <dataValidation type="list" allowBlank="1" showErrorMessage="1" sqref="B2:B17">
      <formula1>"AE1,Alex,Alexis,Clay,Devyn,James,Jeff,Matt ,Sarra,Simon"</formula1>
    </dataValidation>
  </dataValidation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</cols>
  <sheetData>
    <row r="1">
      <c r="A1" s="56" t="s">
        <v>129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>
      <c r="A3" s="57" t="s">
        <v>130</v>
      </c>
      <c r="B3" s="58" t="s">
        <v>11</v>
      </c>
      <c r="C3" s="59" t="s">
        <v>131</v>
      </c>
      <c r="D3" s="60" t="s">
        <v>132</v>
      </c>
      <c r="E3" s="61" t="s">
        <v>133</v>
      </c>
      <c r="F3" s="62" t="s">
        <v>134</v>
      </c>
      <c r="G3" s="62" t="s">
        <v>135</v>
      </c>
      <c r="H3" s="63" t="s">
        <v>136</v>
      </c>
      <c r="I3" s="64" t="s">
        <v>132</v>
      </c>
      <c r="J3" s="65" t="s">
        <v>133</v>
      </c>
      <c r="K3" s="7"/>
      <c r="L3" s="7"/>
      <c r="M3" s="7"/>
      <c r="N3" s="7"/>
      <c r="O3" s="7"/>
    </row>
    <row r="4">
      <c r="A4" s="66" t="s">
        <v>69</v>
      </c>
      <c r="B4" s="67">
        <v>46027.0</v>
      </c>
      <c r="C4" s="68">
        <v>100000.0</v>
      </c>
      <c r="D4" s="69">
        <v>7890.0</v>
      </c>
      <c r="E4" s="70">
        <f t="shared" ref="E4:E9" si="1">D4/C4</f>
        <v>0.0789</v>
      </c>
      <c r="F4" s="71">
        <v>34000.0</v>
      </c>
      <c r="G4" s="72">
        <f t="shared" ref="G4:G10" si="2">F4-H4</f>
        <v>-66000</v>
      </c>
      <c r="H4" s="71">
        <v>100000.0</v>
      </c>
      <c r="I4" s="73"/>
      <c r="J4" s="74">
        <f t="shared" ref="J4:J10" si="3">I4/H4</f>
        <v>0</v>
      </c>
      <c r="K4" s="7"/>
      <c r="L4" s="7"/>
      <c r="M4" s="7"/>
      <c r="N4" s="7"/>
      <c r="O4" s="7"/>
    </row>
    <row r="5">
      <c r="A5" s="75" t="s">
        <v>74</v>
      </c>
      <c r="B5" s="76">
        <v>46062.0</v>
      </c>
      <c r="C5" s="77">
        <v>40000.0</v>
      </c>
      <c r="D5" s="78"/>
      <c r="E5" s="79">
        <f t="shared" si="1"/>
        <v>0</v>
      </c>
      <c r="F5" s="80"/>
      <c r="G5" s="81">
        <f t="shared" si="2"/>
        <v>-66666</v>
      </c>
      <c r="H5" s="82">
        <v>66666.0</v>
      </c>
      <c r="I5" s="80"/>
      <c r="J5" s="79">
        <f t="shared" si="3"/>
        <v>0</v>
      </c>
      <c r="K5" s="7"/>
      <c r="L5" s="7"/>
      <c r="M5" s="7"/>
      <c r="N5" s="7"/>
      <c r="O5" s="7"/>
    </row>
    <row r="6">
      <c r="A6" s="66" t="s">
        <v>78</v>
      </c>
      <c r="B6" s="83">
        <v>46062.0</v>
      </c>
      <c r="C6" s="84">
        <v>40000.0</v>
      </c>
      <c r="D6" s="85"/>
      <c r="E6" s="74">
        <f t="shared" si="1"/>
        <v>0</v>
      </c>
      <c r="F6" s="73"/>
      <c r="G6" s="72">
        <f t="shared" si="2"/>
        <v>-66666</v>
      </c>
      <c r="H6" s="82">
        <v>66666.0</v>
      </c>
      <c r="I6" s="73"/>
      <c r="J6" s="74">
        <f t="shared" si="3"/>
        <v>0</v>
      </c>
      <c r="K6" s="7"/>
      <c r="L6" s="7"/>
      <c r="M6" s="7"/>
      <c r="N6" s="7"/>
      <c r="O6" s="7"/>
    </row>
    <row r="7">
      <c r="A7" s="75" t="s">
        <v>71</v>
      </c>
      <c r="B7" s="76">
        <v>46034.0</v>
      </c>
      <c r="C7" s="77">
        <v>40000.0</v>
      </c>
      <c r="D7" s="78"/>
      <c r="E7" s="79">
        <f t="shared" si="1"/>
        <v>0</v>
      </c>
      <c r="F7" s="80"/>
      <c r="G7" s="81">
        <f t="shared" si="2"/>
        <v>-100000</v>
      </c>
      <c r="H7" s="82">
        <v>100000.0</v>
      </c>
      <c r="I7" s="80"/>
      <c r="J7" s="79">
        <f t="shared" si="3"/>
        <v>0</v>
      </c>
      <c r="K7" s="7"/>
      <c r="L7" s="7"/>
      <c r="M7" s="7"/>
      <c r="N7" s="7"/>
      <c r="O7" s="7"/>
    </row>
    <row r="8">
      <c r="A8" s="66" t="s">
        <v>66</v>
      </c>
      <c r="B8" s="83">
        <v>46062.0</v>
      </c>
      <c r="C8" s="84">
        <v>40000.0</v>
      </c>
      <c r="D8" s="85"/>
      <c r="E8" s="74">
        <f t="shared" si="1"/>
        <v>0</v>
      </c>
      <c r="F8" s="71">
        <v>65000.0</v>
      </c>
      <c r="G8" s="72">
        <f t="shared" si="2"/>
        <v>-1666</v>
      </c>
      <c r="H8" s="82">
        <v>66666.0</v>
      </c>
      <c r="I8" s="73"/>
      <c r="J8" s="74">
        <f t="shared" si="3"/>
        <v>0</v>
      </c>
      <c r="K8" s="7"/>
      <c r="L8" s="7"/>
      <c r="M8" s="7"/>
      <c r="N8" s="7"/>
      <c r="O8" s="7"/>
    </row>
    <row r="9">
      <c r="A9" s="75" t="s">
        <v>80</v>
      </c>
      <c r="B9" s="76">
        <v>46062.0</v>
      </c>
      <c r="C9" s="77">
        <v>33333.0</v>
      </c>
      <c r="D9" s="86">
        <v>2976.0</v>
      </c>
      <c r="E9" s="79">
        <f t="shared" si="1"/>
        <v>0.08928089281</v>
      </c>
      <c r="F9" s="87">
        <v>35000.0</v>
      </c>
      <c r="G9" s="81">
        <f t="shared" si="2"/>
        <v>-31666</v>
      </c>
      <c r="H9" s="82">
        <v>66666.0</v>
      </c>
      <c r="I9" s="80"/>
      <c r="J9" s="79">
        <f t="shared" si="3"/>
        <v>0</v>
      </c>
      <c r="K9" s="7"/>
      <c r="L9" s="7"/>
      <c r="M9" s="7"/>
      <c r="N9" s="7"/>
      <c r="O9" s="7"/>
    </row>
    <row r="10">
      <c r="A10" s="66" t="s">
        <v>31</v>
      </c>
      <c r="B10" s="83">
        <v>46083.0</v>
      </c>
      <c r="C10" s="88">
        <v>0.0</v>
      </c>
      <c r="D10" s="89">
        <v>8976.0</v>
      </c>
      <c r="E10" s="90" t="s">
        <v>137</v>
      </c>
      <c r="F10" s="71">
        <v>119000.0</v>
      </c>
      <c r="G10" s="72">
        <f t="shared" si="2"/>
        <v>35667</v>
      </c>
      <c r="H10" s="82">
        <v>83333.0</v>
      </c>
      <c r="I10" s="73"/>
      <c r="J10" s="79">
        <f t="shared" si="3"/>
        <v>0</v>
      </c>
      <c r="K10" s="7"/>
      <c r="L10" s="7"/>
      <c r="M10" s="7"/>
      <c r="N10" s="7"/>
      <c r="O10" s="7"/>
    </row>
    <row r="11">
      <c r="A11" s="91"/>
      <c r="B11" s="92"/>
      <c r="C11" s="93"/>
      <c r="D11" s="92"/>
      <c r="E11" s="94"/>
      <c r="F11" s="92">
        <f t="shared" ref="F11:G11" si="4">SUM(F4:F10)</f>
        <v>253000</v>
      </c>
      <c r="G11" s="95">
        <f t="shared" si="4"/>
        <v>-296997</v>
      </c>
      <c r="H11" s="93"/>
      <c r="I11" s="92"/>
      <c r="J11" s="94"/>
      <c r="K11" s="7"/>
      <c r="L11" s="7"/>
      <c r="M11" s="7"/>
      <c r="N11" s="7"/>
      <c r="O11" s="7"/>
    </row>
    <row r="12">
      <c r="A12" s="7" t="s">
        <v>138</v>
      </c>
      <c r="B12" s="96"/>
      <c r="C12" s="97">
        <f t="shared" ref="C12:D12" si="5">SUM(C4:C11)</f>
        <v>293333</v>
      </c>
      <c r="D12" s="96">
        <f t="shared" si="5"/>
        <v>19842</v>
      </c>
      <c r="E12" s="98"/>
      <c r="F12" s="99"/>
      <c r="G12" s="99"/>
      <c r="H12" s="100">
        <f>SUM(H4:H10)</f>
        <v>549997</v>
      </c>
      <c r="I12" s="7"/>
      <c r="J12" s="98"/>
      <c r="K12" s="7"/>
      <c r="L12" s="7"/>
      <c r="M12" s="7"/>
      <c r="N12" s="7"/>
      <c r="O12" s="7"/>
    </row>
    <row r="13">
      <c r="A13" s="7" t="s">
        <v>139</v>
      </c>
      <c r="B13" s="101"/>
      <c r="C13" s="102"/>
      <c r="D13" s="103"/>
      <c r="E13" s="104">
        <f>D12/C12</f>
        <v>0.06764325869</v>
      </c>
      <c r="F13" s="105"/>
      <c r="G13" s="105"/>
      <c r="H13" s="102"/>
      <c r="I13" s="103"/>
      <c r="J13" s="104">
        <f>AVERAGE(J4:J10)</f>
        <v>0</v>
      </c>
      <c r="K13" s="7"/>
      <c r="L13" s="7"/>
      <c r="M13" s="7"/>
      <c r="N13" s="7"/>
      <c r="O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>
      <c r="A15" s="106" t="s">
        <v>140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>
      <c r="A17" s="57" t="s">
        <v>130</v>
      </c>
      <c r="B17" s="58" t="s">
        <v>11</v>
      </c>
      <c r="C17" s="58" t="s">
        <v>141</v>
      </c>
      <c r="D17" s="58" t="s">
        <v>142</v>
      </c>
      <c r="E17" s="58" t="s">
        <v>141</v>
      </c>
      <c r="F17" s="58"/>
      <c r="G17" s="58"/>
      <c r="H17" s="58" t="s">
        <v>143</v>
      </c>
      <c r="I17" s="58" t="s">
        <v>141</v>
      </c>
      <c r="J17" s="58" t="s">
        <v>143</v>
      </c>
      <c r="K17" s="7"/>
      <c r="L17" s="107" t="s">
        <v>144</v>
      </c>
      <c r="M17" s="107" t="s">
        <v>145</v>
      </c>
      <c r="N17" s="7"/>
      <c r="O17" s="7"/>
    </row>
    <row r="18">
      <c r="A18" s="66" t="s">
        <v>69</v>
      </c>
      <c r="B18" s="67">
        <v>46027.0</v>
      </c>
      <c r="C18" s="108">
        <f>B18+30</f>
        <v>46057</v>
      </c>
      <c r="D18" s="109" t="s">
        <v>146</v>
      </c>
      <c r="E18" s="110"/>
      <c r="F18" s="111"/>
      <c r="G18" s="111"/>
      <c r="H18" s="111" t="s">
        <v>147</v>
      </c>
      <c r="I18" s="111"/>
      <c r="J18" s="111"/>
      <c r="K18" s="7"/>
      <c r="L18" s="109">
        <v>1.0</v>
      </c>
      <c r="M18" s="111"/>
      <c r="N18" s="7"/>
      <c r="O18" s="7"/>
    </row>
    <row r="19">
      <c r="A19" s="75" t="s">
        <v>74</v>
      </c>
      <c r="B19" s="76">
        <v>46062.0</v>
      </c>
      <c r="C19" s="112">
        <v>46097.0</v>
      </c>
      <c r="D19" s="109" t="s">
        <v>146</v>
      </c>
      <c r="E19" s="112">
        <v>46107.0</v>
      </c>
      <c r="F19" s="111"/>
      <c r="G19" s="111"/>
      <c r="H19" s="111" t="s">
        <v>148</v>
      </c>
      <c r="I19" s="111"/>
      <c r="J19" s="111"/>
      <c r="K19" s="7"/>
      <c r="L19" s="111"/>
      <c r="M19" s="111"/>
      <c r="N19" s="7"/>
      <c r="O19" s="7"/>
    </row>
    <row r="20">
      <c r="A20" s="66" t="s">
        <v>78</v>
      </c>
      <c r="B20" s="83">
        <v>46062.0</v>
      </c>
      <c r="C20" s="112">
        <v>46097.0</v>
      </c>
      <c r="D20" s="109" t="s">
        <v>146</v>
      </c>
      <c r="E20" s="112">
        <v>46107.0</v>
      </c>
      <c r="F20" s="111"/>
      <c r="G20" s="111"/>
      <c r="H20" s="111" t="s">
        <v>148</v>
      </c>
      <c r="I20" s="111"/>
      <c r="J20" s="111"/>
      <c r="K20" s="7"/>
      <c r="L20" s="109">
        <v>1.0</v>
      </c>
      <c r="M20" s="111"/>
      <c r="N20" s="7"/>
      <c r="O20" s="7"/>
    </row>
    <row r="21">
      <c r="A21" s="75" t="s">
        <v>71</v>
      </c>
      <c r="B21" s="76">
        <v>46034.0</v>
      </c>
      <c r="C21" s="112">
        <v>46097.0</v>
      </c>
      <c r="D21" s="109" t="s">
        <v>146</v>
      </c>
      <c r="E21" s="112">
        <v>46107.0</v>
      </c>
      <c r="F21" s="111"/>
      <c r="G21" s="111"/>
      <c r="H21" s="111" t="s">
        <v>148</v>
      </c>
      <c r="I21" s="111"/>
      <c r="J21" s="111"/>
      <c r="K21" s="7"/>
      <c r="L21" s="111"/>
      <c r="M21" s="111"/>
      <c r="N21" s="7"/>
      <c r="O21" s="7"/>
    </row>
    <row r="22">
      <c r="A22" s="66" t="s">
        <v>66</v>
      </c>
      <c r="B22" s="83">
        <v>46062.0</v>
      </c>
      <c r="C22" s="108">
        <f t="shared" ref="C22:C23" si="6">B22+30</f>
        <v>46092</v>
      </c>
      <c r="D22" s="111" t="s">
        <v>146</v>
      </c>
      <c r="E22" s="113">
        <v>46097.0</v>
      </c>
      <c r="F22" s="109"/>
      <c r="G22" s="109"/>
      <c r="H22" s="109" t="s">
        <v>147</v>
      </c>
      <c r="I22" s="114"/>
      <c r="J22" s="114"/>
      <c r="K22" s="7"/>
      <c r="L22" s="109">
        <v>5.0</v>
      </c>
      <c r="M22" s="109">
        <v>2.0</v>
      </c>
      <c r="N22" s="7"/>
      <c r="O22" s="7"/>
    </row>
    <row r="23">
      <c r="A23" s="75" t="s">
        <v>80</v>
      </c>
      <c r="B23" s="76">
        <v>46062.0</v>
      </c>
      <c r="C23" s="115">
        <f t="shared" si="6"/>
        <v>46092</v>
      </c>
      <c r="D23" s="111" t="s">
        <v>146</v>
      </c>
      <c r="E23" s="112"/>
      <c r="F23" s="109"/>
      <c r="G23" s="109"/>
      <c r="H23" s="109" t="s">
        <v>147</v>
      </c>
      <c r="I23" s="114"/>
      <c r="J23" s="114"/>
      <c r="K23" s="7"/>
      <c r="L23" s="114"/>
      <c r="M23" s="114"/>
      <c r="N23" s="7"/>
      <c r="O23" s="7"/>
    </row>
    <row r="24">
      <c r="A24" s="66" t="s">
        <v>31</v>
      </c>
      <c r="B24" s="83">
        <v>46083.0</v>
      </c>
      <c r="C24" s="113">
        <v>46105.0</v>
      </c>
      <c r="D24" s="111" t="s">
        <v>148</v>
      </c>
      <c r="E24" s="112"/>
      <c r="F24" s="111"/>
      <c r="G24" s="111"/>
      <c r="H24" s="111" t="s">
        <v>148</v>
      </c>
      <c r="I24" s="111"/>
      <c r="J24" s="111"/>
      <c r="K24" s="7"/>
      <c r="L24" s="109">
        <v>5.0</v>
      </c>
      <c r="M24" s="109">
        <v>2.0</v>
      </c>
      <c r="N24" s="7"/>
      <c r="O24" s="7"/>
    </row>
    <row r="25">
      <c r="A25" s="91"/>
      <c r="B25" s="92"/>
      <c r="C25" s="116"/>
      <c r="D25" s="117"/>
      <c r="E25" s="118"/>
      <c r="F25" s="117"/>
      <c r="G25" s="117"/>
      <c r="H25" s="117"/>
      <c r="I25" s="117"/>
      <c r="J25" s="117"/>
      <c r="K25" s="7"/>
      <c r="L25" s="117"/>
      <c r="M25" s="117"/>
      <c r="N25" s="7"/>
      <c r="O25" s="7"/>
    </row>
    <row r="26">
      <c r="A26" s="7" t="s">
        <v>138</v>
      </c>
      <c r="B26" s="96"/>
      <c r="C26" s="9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>
      <c r="A27" s="7" t="s">
        <v>139</v>
      </c>
      <c r="B27" s="101"/>
      <c r="C27" s="101"/>
      <c r="D27" s="7" t="s">
        <v>149</v>
      </c>
      <c r="E27" s="7" t="s">
        <v>149</v>
      </c>
      <c r="F27" s="7"/>
      <c r="G27" s="7"/>
      <c r="H27" s="7" t="s">
        <v>149</v>
      </c>
      <c r="I27" s="7"/>
      <c r="J27" s="7"/>
      <c r="K27" s="7"/>
      <c r="L27" s="7"/>
      <c r="M27" s="7"/>
      <c r="N27" s="7"/>
      <c r="O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>
      <c r="A32" s="57" t="s">
        <v>130</v>
      </c>
      <c r="B32" s="58" t="s">
        <v>150</v>
      </c>
      <c r="C32" s="58" t="s">
        <v>151</v>
      </c>
      <c r="D32" s="58" t="s">
        <v>152</v>
      </c>
      <c r="E32" s="58" t="s">
        <v>153</v>
      </c>
      <c r="F32" s="58"/>
      <c r="G32" s="58"/>
      <c r="H32" s="58" t="s">
        <v>154</v>
      </c>
      <c r="I32" s="58" t="s">
        <v>155</v>
      </c>
      <c r="J32" s="58" t="s">
        <v>156</v>
      </c>
      <c r="K32" s="58" t="s">
        <v>157</v>
      </c>
      <c r="L32" s="119"/>
      <c r="M32" s="119"/>
      <c r="N32" s="119"/>
      <c r="O32" s="119"/>
    </row>
    <row r="33">
      <c r="A33" s="66" t="s">
        <v>69</v>
      </c>
      <c r="B33" s="120"/>
      <c r="C33" s="121">
        <v>1.0</v>
      </c>
      <c r="D33" s="122">
        <v>46078.0</v>
      </c>
      <c r="E33" s="123">
        <f t="shared" ref="E33:E39" si="7">B18+30</f>
        <v>46057</v>
      </c>
      <c r="F33" s="124"/>
      <c r="G33" s="124"/>
      <c r="H33" s="124">
        <v>46088.0</v>
      </c>
      <c r="I33" s="125">
        <f t="shared" ref="I33:I39" si="8">C18+7</f>
        <v>46064</v>
      </c>
      <c r="J33" s="120"/>
      <c r="K33" s="125">
        <f t="shared" ref="K33:K39" si="9">C18+14</f>
        <v>46071</v>
      </c>
      <c r="L33" s="120"/>
      <c r="M33" s="120"/>
      <c r="N33" s="120"/>
      <c r="O33" s="120"/>
    </row>
    <row r="34">
      <c r="A34" s="75" t="s">
        <v>74</v>
      </c>
      <c r="B34" s="117"/>
      <c r="C34" s="126">
        <v>0.0</v>
      </c>
      <c r="D34" s="117"/>
      <c r="E34" s="123">
        <f t="shared" si="7"/>
        <v>46092</v>
      </c>
      <c r="F34" s="117"/>
      <c r="G34" s="117"/>
      <c r="H34" s="117"/>
      <c r="I34" s="125">
        <f t="shared" si="8"/>
        <v>46104</v>
      </c>
      <c r="J34" s="117"/>
      <c r="K34" s="125">
        <f t="shared" si="9"/>
        <v>46111</v>
      </c>
      <c r="L34" s="117"/>
      <c r="M34" s="117"/>
      <c r="N34" s="117"/>
      <c r="O34" s="117"/>
    </row>
    <row r="35">
      <c r="A35" s="66" t="s">
        <v>78</v>
      </c>
      <c r="B35" s="120"/>
      <c r="C35" s="121">
        <v>1.0</v>
      </c>
      <c r="D35" s="122">
        <v>46098.0</v>
      </c>
      <c r="E35" s="123">
        <f t="shared" si="7"/>
        <v>46092</v>
      </c>
      <c r="F35" s="120"/>
      <c r="G35" s="120"/>
      <c r="H35" s="120"/>
      <c r="I35" s="125">
        <f t="shared" si="8"/>
        <v>46104</v>
      </c>
      <c r="J35" s="120"/>
      <c r="K35" s="125">
        <f t="shared" si="9"/>
        <v>46111</v>
      </c>
      <c r="L35" s="120"/>
      <c r="M35" s="120"/>
      <c r="N35" s="120"/>
      <c r="O35" s="120"/>
    </row>
    <row r="36">
      <c r="A36" s="75" t="s">
        <v>71</v>
      </c>
      <c r="B36" s="117"/>
      <c r="C36" s="126">
        <v>0.0</v>
      </c>
      <c r="D36" s="117"/>
      <c r="E36" s="123">
        <f t="shared" si="7"/>
        <v>46064</v>
      </c>
      <c r="F36" s="117"/>
      <c r="G36" s="117"/>
      <c r="H36" s="117"/>
      <c r="I36" s="125">
        <f t="shared" si="8"/>
        <v>46104</v>
      </c>
      <c r="J36" s="117"/>
      <c r="K36" s="125">
        <f t="shared" si="9"/>
        <v>46111</v>
      </c>
      <c r="L36" s="117"/>
      <c r="M36" s="117"/>
      <c r="N36" s="117"/>
      <c r="O36" s="117"/>
    </row>
    <row r="37">
      <c r="A37" s="66" t="s">
        <v>66</v>
      </c>
      <c r="B37" s="120"/>
      <c r="C37" s="121">
        <v>5.0</v>
      </c>
      <c r="D37" s="122">
        <v>46087.0</v>
      </c>
      <c r="E37" s="127">
        <f t="shared" si="7"/>
        <v>46092</v>
      </c>
      <c r="F37" s="120"/>
      <c r="G37" s="120"/>
      <c r="H37" s="120"/>
      <c r="I37" s="125">
        <f t="shared" si="8"/>
        <v>46099</v>
      </c>
      <c r="J37" s="120"/>
      <c r="K37" s="125">
        <f t="shared" si="9"/>
        <v>46106</v>
      </c>
      <c r="L37" s="120"/>
      <c r="M37" s="120"/>
      <c r="N37" s="120"/>
      <c r="O37" s="120"/>
    </row>
    <row r="38">
      <c r="A38" s="75" t="s">
        <v>80</v>
      </c>
      <c r="B38" s="117"/>
      <c r="C38" s="126">
        <v>1.0</v>
      </c>
      <c r="D38" s="128">
        <v>46082.0</v>
      </c>
      <c r="E38" s="127">
        <f t="shared" si="7"/>
        <v>46092</v>
      </c>
      <c r="F38" s="129"/>
      <c r="G38" s="129"/>
      <c r="H38" s="129">
        <v>46088.0</v>
      </c>
      <c r="I38" s="125">
        <f t="shared" si="8"/>
        <v>46099</v>
      </c>
      <c r="J38" s="129">
        <v>46097.0</v>
      </c>
      <c r="K38" s="125">
        <f t="shared" si="9"/>
        <v>46106</v>
      </c>
      <c r="L38" s="117"/>
      <c r="M38" s="117"/>
      <c r="N38" s="117"/>
      <c r="O38" s="117"/>
    </row>
    <row r="39">
      <c r="A39" s="66" t="s">
        <v>31</v>
      </c>
      <c r="B39" s="120"/>
      <c r="C39" s="121">
        <v>5.0</v>
      </c>
      <c r="D39" s="120"/>
      <c r="E39" s="130">
        <f t="shared" si="7"/>
        <v>46113</v>
      </c>
      <c r="F39" s="131"/>
      <c r="G39" s="131"/>
      <c r="H39" s="131">
        <v>46094.0</v>
      </c>
      <c r="I39" s="125">
        <f t="shared" si="8"/>
        <v>46112</v>
      </c>
      <c r="J39" s="132">
        <v>46100.0</v>
      </c>
      <c r="K39" s="125">
        <f t="shared" si="9"/>
        <v>46119</v>
      </c>
      <c r="L39" s="120"/>
      <c r="M39" s="120"/>
      <c r="N39" s="120"/>
      <c r="O39" s="120"/>
    </row>
    <row r="40">
      <c r="A40" s="91"/>
      <c r="B40" s="91"/>
      <c r="C40" s="91"/>
      <c r="D40" s="91"/>
      <c r="E40" s="91"/>
      <c r="F40" s="91"/>
      <c r="G40" s="91"/>
      <c r="H40" s="91"/>
      <c r="I40" s="91"/>
      <c r="J40" s="117"/>
      <c r="K40" s="117"/>
      <c r="L40" s="117"/>
      <c r="M40" s="117"/>
      <c r="N40" s="117"/>
      <c r="O40" s="117"/>
    </row>
    <row r="41">
      <c r="A41" s="120" t="s">
        <v>138</v>
      </c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</row>
    <row r="42">
      <c r="A42" s="117" t="s">
        <v>139</v>
      </c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</row>
    <row r="43">
      <c r="A43" s="120"/>
      <c r="B43" s="120"/>
      <c r="C43" s="120"/>
      <c r="D43" s="120"/>
      <c r="E43" s="120"/>
      <c r="F43" s="120"/>
      <c r="G43" s="120"/>
      <c r="H43" s="120"/>
      <c r="I43" s="120"/>
      <c r="J43" s="133"/>
      <c r="K43" s="133"/>
      <c r="L43" s="120"/>
      <c r="M43" s="120"/>
      <c r="N43" s="120"/>
      <c r="O43" s="120"/>
    </row>
    <row r="44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</sheetData>
  <dataValidations>
    <dataValidation type="list" allowBlank="1" showErrorMessage="1" sqref="D18:D24 F18:H24">
      <formula1>"Yes,No,N/A"</formula1>
    </dataValidation>
  </dataValidations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8"/>
    <hyperlink r:id="rId9" ref="A19"/>
    <hyperlink r:id="rId10" ref="A20"/>
    <hyperlink r:id="rId11" ref="A21"/>
    <hyperlink r:id="rId12" ref="A22"/>
    <hyperlink r:id="rId13" ref="A23"/>
    <hyperlink r:id="rId14" ref="A24"/>
    <hyperlink r:id="rId15" ref="A33"/>
    <hyperlink r:id="rId16" ref="A34"/>
    <hyperlink r:id="rId17" ref="A35"/>
    <hyperlink r:id="rId18" ref="A36"/>
    <hyperlink r:id="rId19" ref="A37"/>
    <hyperlink r:id="rId20" ref="A38"/>
    <hyperlink r:id="rId21" ref="A39"/>
  </hyperlinks>
  <drawing r:id="rId22"/>
  <tableParts count="4">
    <tablePart r:id="rId27"/>
    <tablePart r:id="rId28"/>
    <tablePart r:id="rId29"/>
    <tablePart r:id="rId3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3" width="19.75"/>
    <col customWidth="1" hidden="1" min="4" max="5" width="15.63"/>
    <col customWidth="1" min="6" max="6" width="20.0"/>
    <col customWidth="1" hidden="1" min="7" max="7" width="18.63"/>
    <col customWidth="1" hidden="1" min="8" max="8" width="10.88"/>
    <col hidden="1" min="9" max="9" width="12.63"/>
    <col customWidth="1" hidden="1" min="10" max="10" width="13.13"/>
    <col customWidth="1" min="11" max="11" width="29.75"/>
    <col customWidth="1" min="12" max="12" width="30.13"/>
    <col customWidth="1" min="13" max="13" width="8.75"/>
    <col customWidth="1" min="14" max="14" width="25.63"/>
    <col customWidth="1" min="15" max="15" width="7.75"/>
    <col customWidth="1" min="16" max="16" width="28.5"/>
    <col customWidth="1" min="17" max="17" width="7.75"/>
    <col customWidth="1" min="18" max="18" width="26.88"/>
  </cols>
  <sheetData>
    <row r="1">
      <c r="A1" s="1" t="s">
        <v>81</v>
      </c>
      <c r="B1" s="2" t="s">
        <v>1</v>
      </c>
      <c r="C1" s="3"/>
      <c r="D1" s="3"/>
      <c r="E1" s="3"/>
      <c r="F1" s="3"/>
      <c r="G1" s="3"/>
      <c r="H1" s="4"/>
      <c r="I1" s="5" t="s">
        <v>2</v>
      </c>
      <c r="J1" s="3"/>
      <c r="K1" s="4"/>
      <c r="L1" s="7"/>
    </row>
    <row r="2">
      <c r="A2" s="8" t="s">
        <v>4</v>
      </c>
      <c r="B2" s="9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134" t="s">
        <v>158</v>
      </c>
      <c r="L2" s="134" t="s">
        <v>159</v>
      </c>
      <c r="M2" s="134" t="s">
        <v>160</v>
      </c>
      <c r="N2" s="134" t="s">
        <v>161</v>
      </c>
      <c r="O2" s="134" t="s">
        <v>160</v>
      </c>
      <c r="P2" s="134" t="s">
        <v>162</v>
      </c>
      <c r="Q2" s="8" t="s">
        <v>160</v>
      </c>
      <c r="R2" s="134" t="s">
        <v>163</v>
      </c>
    </row>
    <row r="3" hidden="1">
      <c r="A3" s="12" t="s">
        <v>25</v>
      </c>
      <c r="B3" s="13"/>
      <c r="C3" s="14" t="s">
        <v>26</v>
      </c>
      <c r="D3" s="14" t="s">
        <v>27</v>
      </c>
      <c r="E3" s="15" t="s">
        <v>28</v>
      </c>
      <c r="F3" s="12" t="s">
        <v>29</v>
      </c>
      <c r="G3" s="16"/>
      <c r="H3" s="16"/>
      <c r="I3" s="14" t="s">
        <v>30</v>
      </c>
      <c r="J3" s="16"/>
      <c r="K3" s="16"/>
      <c r="L3" s="7"/>
    </row>
    <row r="4" hidden="1">
      <c r="A4" s="12" t="s">
        <v>31</v>
      </c>
      <c r="B4" s="13"/>
      <c r="C4" s="14" t="s">
        <v>26</v>
      </c>
      <c r="D4" s="15" t="s">
        <v>32</v>
      </c>
      <c r="E4" s="15" t="s">
        <v>28</v>
      </c>
      <c r="F4" s="12" t="s">
        <v>29</v>
      </c>
      <c r="G4" s="16"/>
      <c r="H4" s="16"/>
      <c r="I4" s="14" t="s">
        <v>30</v>
      </c>
      <c r="J4" s="16"/>
      <c r="K4" s="16"/>
      <c r="L4" s="7"/>
    </row>
    <row r="5" hidden="1">
      <c r="A5" s="12" t="s">
        <v>34</v>
      </c>
      <c r="B5" s="13"/>
      <c r="C5" s="14" t="s">
        <v>26</v>
      </c>
      <c r="D5" s="15" t="s">
        <v>32</v>
      </c>
      <c r="E5" s="15" t="s">
        <v>28</v>
      </c>
      <c r="F5" s="12" t="s">
        <v>29</v>
      </c>
      <c r="G5" s="16"/>
      <c r="H5" s="16"/>
      <c r="I5" s="14" t="s">
        <v>30</v>
      </c>
      <c r="J5" s="16"/>
      <c r="K5" s="16"/>
      <c r="L5" s="7"/>
    </row>
    <row r="6" hidden="1">
      <c r="A6" s="20" t="s">
        <v>35</v>
      </c>
      <c r="B6" s="13"/>
      <c r="C6" s="14" t="s">
        <v>36</v>
      </c>
      <c r="D6" s="15" t="s">
        <v>37</v>
      </c>
      <c r="E6" s="15" t="s">
        <v>28</v>
      </c>
      <c r="F6" s="12" t="s">
        <v>29</v>
      </c>
      <c r="G6" s="18"/>
      <c r="H6" s="18"/>
      <c r="I6" s="14" t="s">
        <v>38</v>
      </c>
      <c r="J6" s="18"/>
      <c r="K6" s="18"/>
      <c r="L6" s="7"/>
    </row>
    <row r="7" hidden="1">
      <c r="A7" s="20" t="s">
        <v>164</v>
      </c>
      <c r="B7" s="13"/>
      <c r="C7" s="14" t="s">
        <v>36</v>
      </c>
      <c r="D7" s="15" t="s">
        <v>37</v>
      </c>
      <c r="E7" s="15" t="s">
        <v>28</v>
      </c>
      <c r="F7" s="12" t="s">
        <v>29</v>
      </c>
      <c r="G7" s="18"/>
      <c r="H7" s="18"/>
      <c r="I7" s="14" t="s">
        <v>38</v>
      </c>
      <c r="J7" s="18"/>
      <c r="K7" s="18"/>
      <c r="L7" s="7"/>
    </row>
    <row r="8" hidden="1">
      <c r="A8" s="20" t="s">
        <v>50</v>
      </c>
      <c r="B8" s="13"/>
      <c r="C8" s="14" t="s">
        <v>36</v>
      </c>
      <c r="D8" s="15" t="s">
        <v>37</v>
      </c>
      <c r="E8" s="15" t="s">
        <v>28</v>
      </c>
      <c r="F8" s="12" t="s">
        <v>29</v>
      </c>
      <c r="G8" s="18"/>
      <c r="H8" s="18"/>
      <c r="I8" s="14" t="s">
        <v>38</v>
      </c>
      <c r="J8" s="18"/>
      <c r="K8" s="18"/>
      <c r="L8" s="7"/>
    </row>
    <row r="9" hidden="1">
      <c r="A9" s="20" t="s">
        <v>165</v>
      </c>
      <c r="B9" s="13"/>
      <c r="C9" s="14" t="s">
        <v>36</v>
      </c>
      <c r="D9" s="15" t="s">
        <v>37</v>
      </c>
      <c r="E9" s="15" t="s">
        <v>46</v>
      </c>
      <c r="F9" s="12" t="s">
        <v>29</v>
      </c>
      <c r="G9" s="18"/>
      <c r="H9" s="18"/>
      <c r="I9" s="14" t="s">
        <v>38</v>
      </c>
      <c r="J9" s="18"/>
      <c r="K9" s="18"/>
      <c r="L9" s="7"/>
    </row>
    <row r="10" hidden="1">
      <c r="A10" s="12" t="s">
        <v>51</v>
      </c>
      <c r="B10" s="13"/>
      <c r="C10" s="14" t="s">
        <v>36</v>
      </c>
      <c r="D10" s="15" t="s">
        <v>27</v>
      </c>
      <c r="E10" s="15" t="s">
        <v>28</v>
      </c>
      <c r="F10" s="12" t="s">
        <v>29</v>
      </c>
      <c r="G10" s="16"/>
      <c r="H10" s="16"/>
      <c r="I10" s="14" t="s">
        <v>30</v>
      </c>
      <c r="J10" s="16"/>
      <c r="K10" s="16"/>
      <c r="L10" s="7"/>
    </row>
    <row r="11" hidden="1">
      <c r="A11" s="12" t="s">
        <v>52</v>
      </c>
      <c r="B11" s="13"/>
      <c r="C11" s="14" t="s">
        <v>36</v>
      </c>
      <c r="D11" s="15" t="s">
        <v>27</v>
      </c>
      <c r="E11" s="15" t="s">
        <v>46</v>
      </c>
      <c r="F11" s="12" t="s">
        <v>29</v>
      </c>
      <c r="G11" s="16"/>
      <c r="H11" s="16"/>
      <c r="I11" s="14" t="s">
        <v>30</v>
      </c>
      <c r="J11" s="16"/>
      <c r="K11" s="16"/>
    </row>
    <row r="12" hidden="1">
      <c r="A12" s="23" t="s">
        <v>53</v>
      </c>
      <c r="B12" s="13"/>
      <c r="C12" s="14" t="s">
        <v>36</v>
      </c>
      <c r="D12" s="15" t="s">
        <v>27</v>
      </c>
      <c r="E12" s="15" t="s">
        <v>28</v>
      </c>
      <c r="F12" s="12" t="s">
        <v>29</v>
      </c>
      <c r="G12" s="16"/>
      <c r="H12" s="16"/>
      <c r="I12" s="14" t="s">
        <v>30</v>
      </c>
      <c r="J12" s="16"/>
      <c r="K12" s="16"/>
    </row>
    <row r="13" hidden="1">
      <c r="A13" s="12" t="s">
        <v>54</v>
      </c>
      <c r="B13" s="13"/>
      <c r="C13" s="14" t="s">
        <v>36</v>
      </c>
      <c r="D13" s="15" t="s">
        <v>27</v>
      </c>
      <c r="E13" s="15" t="s">
        <v>46</v>
      </c>
      <c r="F13" s="12" t="s">
        <v>29</v>
      </c>
      <c r="G13" s="16"/>
      <c r="H13" s="16"/>
      <c r="I13" s="14" t="s">
        <v>30</v>
      </c>
      <c r="J13" s="16"/>
      <c r="K13" s="16"/>
    </row>
    <row r="14" hidden="1">
      <c r="A14" s="12" t="s">
        <v>55</v>
      </c>
      <c r="B14" s="13"/>
      <c r="C14" s="14" t="s">
        <v>36</v>
      </c>
      <c r="D14" s="15" t="s">
        <v>27</v>
      </c>
      <c r="E14" s="15" t="s">
        <v>46</v>
      </c>
      <c r="F14" s="12" t="s">
        <v>29</v>
      </c>
      <c r="G14" s="16"/>
      <c r="H14" s="16"/>
      <c r="I14" s="14" t="s">
        <v>30</v>
      </c>
      <c r="J14" s="16"/>
      <c r="K14" s="16"/>
    </row>
    <row r="15" hidden="1">
      <c r="A15" s="20" t="s">
        <v>56</v>
      </c>
      <c r="B15" s="13"/>
      <c r="C15" s="14" t="s">
        <v>36</v>
      </c>
      <c r="D15" s="15" t="s">
        <v>27</v>
      </c>
      <c r="E15" s="15" t="s">
        <v>28</v>
      </c>
      <c r="F15" s="12" t="s">
        <v>29</v>
      </c>
      <c r="G15" s="18"/>
      <c r="H15" s="18"/>
      <c r="I15" s="14" t="s">
        <v>30</v>
      </c>
      <c r="J15" s="18"/>
      <c r="K15" s="18"/>
    </row>
    <row r="16" hidden="1">
      <c r="A16" s="12" t="s">
        <v>57</v>
      </c>
      <c r="B16" s="13"/>
      <c r="C16" s="14" t="s">
        <v>36</v>
      </c>
      <c r="D16" s="15" t="s">
        <v>27</v>
      </c>
      <c r="E16" s="15" t="s">
        <v>28</v>
      </c>
      <c r="F16" s="12" t="s">
        <v>29</v>
      </c>
      <c r="G16" s="16"/>
      <c r="H16" s="16"/>
      <c r="I16" s="14" t="s">
        <v>30</v>
      </c>
      <c r="J16" s="16"/>
      <c r="K16" s="16"/>
    </row>
    <row r="17" hidden="1">
      <c r="A17" s="12" t="s">
        <v>58</v>
      </c>
      <c r="B17" s="13"/>
      <c r="C17" s="14" t="s">
        <v>36</v>
      </c>
      <c r="D17" s="15" t="s">
        <v>27</v>
      </c>
      <c r="E17" s="15" t="s">
        <v>28</v>
      </c>
      <c r="F17" s="12" t="s">
        <v>29</v>
      </c>
      <c r="G17" s="16"/>
      <c r="H17" s="16"/>
      <c r="I17" s="14" t="s">
        <v>30</v>
      </c>
      <c r="J17" s="16"/>
      <c r="K17" s="16"/>
    </row>
    <row r="18" hidden="1">
      <c r="A18" s="12" t="s">
        <v>59</v>
      </c>
      <c r="B18" s="13"/>
      <c r="C18" s="14" t="s">
        <v>9</v>
      </c>
      <c r="D18" s="15" t="s">
        <v>32</v>
      </c>
      <c r="E18" s="15" t="s">
        <v>28</v>
      </c>
      <c r="F18" s="12" t="s">
        <v>60</v>
      </c>
      <c r="G18" s="16"/>
      <c r="H18" s="24">
        <v>45567.0</v>
      </c>
      <c r="I18" s="14" t="s">
        <v>30</v>
      </c>
      <c r="J18" s="25"/>
      <c r="K18" s="16"/>
    </row>
    <row r="19" hidden="1">
      <c r="A19" s="12" t="s">
        <v>33</v>
      </c>
      <c r="B19" s="13"/>
      <c r="C19" s="14" t="s">
        <v>9</v>
      </c>
      <c r="D19" s="15"/>
      <c r="E19" s="15"/>
      <c r="F19" s="12" t="s">
        <v>60</v>
      </c>
      <c r="G19" s="18"/>
      <c r="H19" s="18"/>
      <c r="I19" s="14" t="s">
        <v>30</v>
      </c>
      <c r="J19" s="18"/>
      <c r="K19" s="18"/>
    </row>
    <row r="20" hidden="1">
      <c r="A20" s="12" t="s">
        <v>65</v>
      </c>
      <c r="B20" s="26" t="s">
        <v>166</v>
      </c>
      <c r="C20" s="14" t="s">
        <v>62</v>
      </c>
      <c r="D20" s="15" t="s">
        <v>37</v>
      </c>
      <c r="E20" s="15" t="s">
        <v>28</v>
      </c>
      <c r="F20" s="12" t="s">
        <v>60</v>
      </c>
      <c r="G20" s="16"/>
      <c r="H20" s="24">
        <v>45352.0</v>
      </c>
      <c r="I20" s="14" t="s">
        <v>30</v>
      </c>
      <c r="J20" s="25"/>
      <c r="K20" s="27" t="s">
        <v>167</v>
      </c>
      <c r="L20" s="16"/>
      <c r="M20" s="16"/>
      <c r="N20" s="16"/>
      <c r="O20" s="16"/>
      <c r="P20" s="16"/>
      <c r="Q20" s="16"/>
      <c r="R20" s="18"/>
    </row>
    <row r="21" hidden="1">
      <c r="A21" s="12" t="s">
        <v>64</v>
      </c>
      <c r="B21" s="26" t="s">
        <v>166</v>
      </c>
      <c r="C21" s="14" t="s">
        <v>62</v>
      </c>
      <c r="D21" s="15" t="s">
        <v>27</v>
      </c>
      <c r="E21" s="15" t="s">
        <v>63</v>
      </c>
      <c r="F21" s="12" t="s">
        <v>60</v>
      </c>
      <c r="G21" s="16"/>
      <c r="H21" s="24">
        <v>45567.0</v>
      </c>
      <c r="I21" s="14" t="s">
        <v>30</v>
      </c>
      <c r="J21" s="25"/>
      <c r="K21" s="27" t="s">
        <v>168</v>
      </c>
      <c r="L21" s="16"/>
      <c r="M21" s="16"/>
      <c r="N21" s="16"/>
      <c r="O21" s="16"/>
      <c r="P21" s="16"/>
      <c r="Q21" s="18"/>
      <c r="R21" s="18"/>
    </row>
    <row r="22" hidden="1">
      <c r="A22" s="12" t="s">
        <v>61</v>
      </c>
      <c r="B22" s="26" t="s">
        <v>166</v>
      </c>
      <c r="C22" s="14" t="s">
        <v>62</v>
      </c>
      <c r="D22" s="15" t="s">
        <v>27</v>
      </c>
      <c r="E22" s="15" t="s">
        <v>63</v>
      </c>
      <c r="F22" s="12" t="s">
        <v>60</v>
      </c>
      <c r="G22" s="16"/>
      <c r="H22" s="24">
        <v>45712.0</v>
      </c>
      <c r="I22" s="14" t="s">
        <v>30</v>
      </c>
      <c r="J22" s="25"/>
      <c r="K22" s="27" t="s">
        <v>169</v>
      </c>
      <c r="L22" s="16"/>
      <c r="M22" s="16"/>
      <c r="N22" s="16"/>
      <c r="O22" s="16"/>
      <c r="P22" s="16"/>
      <c r="Q22" s="135"/>
      <c r="R22" s="18"/>
    </row>
    <row r="23">
      <c r="A23" s="12" t="s">
        <v>69</v>
      </c>
      <c r="B23" s="26" t="s">
        <v>76</v>
      </c>
      <c r="C23" s="14" t="s">
        <v>62</v>
      </c>
      <c r="D23" s="15" t="s">
        <v>27</v>
      </c>
      <c r="E23" s="15" t="s">
        <v>46</v>
      </c>
      <c r="F23" s="23" t="s">
        <v>59</v>
      </c>
      <c r="G23" s="33" t="s">
        <v>68</v>
      </c>
      <c r="H23" s="24">
        <v>46062.0</v>
      </c>
      <c r="I23" s="14" t="s">
        <v>38</v>
      </c>
      <c r="J23" s="24">
        <f t="shared" ref="J23:J24" si="1">H23+21</f>
        <v>46083</v>
      </c>
      <c r="K23" s="136" t="s">
        <v>170</v>
      </c>
      <c r="L23" s="137" t="s">
        <v>171</v>
      </c>
      <c r="M23" s="138">
        <v>65.0</v>
      </c>
      <c r="N23" s="137" t="s">
        <v>172</v>
      </c>
      <c r="O23" s="138"/>
      <c r="P23" s="139" t="s">
        <v>173</v>
      </c>
      <c r="Q23" s="140">
        <v>0.82</v>
      </c>
      <c r="R23" s="136" t="s">
        <v>174</v>
      </c>
    </row>
    <row r="24">
      <c r="A24" s="12" t="s">
        <v>71</v>
      </c>
      <c r="B24" s="26" t="s">
        <v>76</v>
      </c>
      <c r="C24" s="14" t="s">
        <v>62</v>
      </c>
      <c r="D24" s="15" t="s">
        <v>27</v>
      </c>
      <c r="E24" s="15" t="s">
        <v>28</v>
      </c>
      <c r="F24" s="23" t="s">
        <v>59</v>
      </c>
      <c r="G24" s="28" t="s">
        <v>65</v>
      </c>
      <c r="H24" s="24">
        <v>46062.0</v>
      </c>
      <c r="I24" s="14" t="s">
        <v>38</v>
      </c>
      <c r="J24" s="24">
        <f t="shared" si="1"/>
        <v>46083</v>
      </c>
      <c r="K24" s="136" t="s">
        <v>175</v>
      </c>
      <c r="L24" s="44"/>
      <c r="M24" s="44"/>
      <c r="N24" s="44"/>
      <c r="O24" s="44"/>
      <c r="P24" s="44"/>
      <c r="Q24" s="141"/>
      <c r="R24" s="44"/>
    </row>
    <row r="25">
      <c r="A25" s="27" t="s">
        <v>74</v>
      </c>
      <c r="B25" s="26" t="s">
        <v>67</v>
      </c>
      <c r="C25" s="14" t="s">
        <v>62</v>
      </c>
      <c r="D25" s="15" t="s">
        <v>27</v>
      </c>
      <c r="E25" s="15" t="s">
        <v>28</v>
      </c>
      <c r="F25" s="12" t="s">
        <v>59</v>
      </c>
      <c r="G25" s="16"/>
      <c r="H25" s="24">
        <v>45352.0</v>
      </c>
      <c r="I25" s="14" t="s">
        <v>30</v>
      </c>
      <c r="J25" s="25"/>
      <c r="K25" s="28" t="s">
        <v>176</v>
      </c>
      <c r="L25" s="137" t="s">
        <v>177</v>
      </c>
      <c r="M25" s="138">
        <v>70.0</v>
      </c>
      <c r="N25" s="142" t="s">
        <v>178</v>
      </c>
      <c r="O25" s="138">
        <v>70.0</v>
      </c>
      <c r="P25" s="143" t="s">
        <v>179</v>
      </c>
      <c r="Q25" s="138">
        <v>60.0</v>
      </c>
      <c r="R25" s="44"/>
    </row>
    <row r="26" hidden="1">
      <c r="A26" s="27" t="s">
        <v>70</v>
      </c>
      <c r="B26" s="26" t="s">
        <v>166</v>
      </c>
      <c r="C26" s="30" t="s">
        <v>62</v>
      </c>
      <c r="D26" s="30" t="s">
        <v>27</v>
      </c>
      <c r="E26" s="30" t="s">
        <v>73</v>
      </c>
      <c r="F26" s="12" t="s">
        <v>59</v>
      </c>
      <c r="G26" s="28" t="s">
        <v>64</v>
      </c>
      <c r="H26" s="24">
        <v>46062.0</v>
      </c>
      <c r="I26" s="30" t="s">
        <v>38</v>
      </c>
      <c r="J26" s="24">
        <f>H26+21</f>
        <v>46083</v>
      </c>
      <c r="K26" s="27" t="s">
        <v>180</v>
      </c>
      <c r="L26" s="16"/>
      <c r="M26" s="16"/>
      <c r="N26" s="16"/>
      <c r="O26" s="16"/>
      <c r="P26" s="16"/>
      <c r="Q26" s="16"/>
      <c r="R26" s="18"/>
    </row>
    <row r="27">
      <c r="A27" s="32" t="s">
        <v>66</v>
      </c>
      <c r="B27" s="26" t="s">
        <v>67</v>
      </c>
      <c r="C27" s="30" t="s">
        <v>62</v>
      </c>
      <c r="D27" s="30" t="s">
        <v>27</v>
      </c>
      <c r="E27" s="30" t="s">
        <v>28</v>
      </c>
      <c r="F27" s="23" t="s">
        <v>59</v>
      </c>
      <c r="G27" s="27" t="s">
        <v>59</v>
      </c>
      <c r="H27" s="24">
        <v>46063.0</v>
      </c>
      <c r="I27" s="30" t="s">
        <v>38</v>
      </c>
      <c r="J27" s="24">
        <v>46084.0</v>
      </c>
      <c r="K27" s="136" t="s">
        <v>181</v>
      </c>
      <c r="L27" s="143" t="s">
        <v>182</v>
      </c>
      <c r="M27" s="138">
        <v>70.0</v>
      </c>
      <c r="N27" s="137" t="s">
        <v>177</v>
      </c>
      <c r="O27" s="138">
        <v>70.0</v>
      </c>
      <c r="P27" s="137" t="s">
        <v>172</v>
      </c>
      <c r="Q27" s="138">
        <v>69.0</v>
      </c>
      <c r="R27" s="136" t="s">
        <v>183</v>
      </c>
    </row>
    <row r="28" hidden="1">
      <c r="A28" s="27" t="s">
        <v>68</v>
      </c>
      <c r="B28" s="26" t="s">
        <v>166</v>
      </c>
      <c r="C28" s="30" t="s">
        <v>62</v>
      </c>
      <c r="D28" s="30" t="s">
        <v>32</v>
      </c>
      <c r="E28" s="30" t="s">
        <v>28</v>
      </c>
      <c r="F28" s="12" t="s">
        <v>77</v>
      </c>
      <c r="G28" s="16"/>
      <c r="H28" s="31">
        <v>45883.0</v>
      </c>
      <c r="I28" s="30" t="s">
        <v>30</v>
      </c>
      <c r="J28" s="25"/>
      <c r="K28" s="16"/>
      <c r="L28" s="7"/>
      <c r="M28" s="16"/>
      <c r="N28" s="7"/>
      <c r="O28" s="16"/>
      <c r="P28" s="16"/>
      <c r="Q28" s="16"/>
      <c r="R28" s="18"/>
    </row>
    <row r="29" hidden="1">
      <c r="A29" s="27" t="s">
        <v>75</v>
      </c>
      <c r="B29" s="26" t="s">
        <v>166</v>
      </c>
      <c r="C29" s="30" t="s">
        <v>62</v>
      </c>
      <c r="D29" s="30" t="s">
        <v>27</v>
      </c>
      <c r="E29" s="30" t="s">
        <v>73</v>
      </c>
      <c r="F29" s="12" t="s">
        <v>77</v>
      </c>
      <c r="G29" s="27" t="s">
        <v>72</v>
      </c>
      <c r="H29" s="24">
        <v>46043.0</v>
      </c>
      <c r="I29" s="30" t="s">
        <v>38</v>
      </c>
      <c r="J29" s="24">
        <f>H29+21</f>
        <v>46064</v>
      </c>
      <c r="K29" s="16"/>
      <c r="L29" s="16"/>
      <c r="M29" s="16"/>
      <c r="N29" s="16"/>
      <c r="O29" s="16"/>
      <c r="P29" s="16"/>
      <c r="Q29" s="16"/>
      <c r="R29" s="18"/>
    </row>
    <row r="30" hidden="1">
      <c r="A30" s="27" t="s">
        <v>72</v>
      </c>
      <c r="B30" s="26" t="s">
        <v>166</v>
      </c>
      <c r="C30" s="30" t="s">
        <v>62</v>
      </c>
      <c r="D30" s="30" t="s">
        <v>27</v>
      </c>
      <c r="E30" s="30" t="s">
        <v>28</v>
      </c>
      <c r="F30" s="27" t="s">
        <v>33</v>
      </c>
      <c r="G30" s="36"/>
      <c r="H30" s="24">
        <v>45870.0</v>
      </c>
      <c r="I30" s="14" t="s">
        <v>30</v>
      </c>
      <c r="J30" s="25"/>
      <c r="K30" s="144" t="s">
        <v>184</v>
      </c>
      <c r="L30" s="135" t="s">
        <v>185</v>
      </c>
      <c r="M30" s="135" t="s">
        <v>185</v>
      </c>
      <c r="N30" s="135" t="s">
        <v>185</v>
      </c>
      <c r="O30" s="135" t="s">
        <v>185</v>
      </c>
      <c r="P30" s="135" t="s">
        <v>185</v>
      </c>
      <c r="Q30" s="53" t="s">
        <v>185</v>
      </c>
      <c r="R30" s="18"/>
    </row>
    <row r="31">
      <c r="A31" s="32" t="s">
        <v>78</v>
      </c>
      <c r="B31" s="26" t="s">
        <v>67</v>
      </c>
      <c r="C31" s="30" t="s">
        <v>62</v>
      </c>
      <c r="D31" s="30" t="s">
        <v>27</v>
      </c>
      <c r="E31" s="30" t="s">
        <v>73</v>
      </c>
      <c r="F31" s="27" t="s">
        <v>33</v>
      </c>
      <c r="G31" s="27" t="s">
        <v>70</v>
      </c>
      <c r="H31" s="24">
        <v>46027.0</v>
      </c>
      <c r="I31" s="14" t="s">
        <v>38</v>
      </c>
      <c r="J31" s="24">
        <f>H31+21</f>
        <v>46048</v>
      </c>
      <c r="K31" s="28" t="s">
        <v>186</v>
      </c>
      <c r="L31" s="145" t="s">
        <v>187</v>
      </c>
      <c r="M31" s="146">
        <v>70.0</v>
      </c>
      <c r="N31" s="147" t="s">
        <v>188</v>
      </c>
      <c r="O31" s="146">
        <v>60.0</v>
      </c>
      <c r="P31" s="145" t="s">
        <v>189</v>
      </c>
      <c r="Q31" s="146">
        <v>60.0</v>
      </c>
      <c r="R31" s="148"/>
    </row>
    <row r="32">
      <c r="A32" s="23" t="s">
        <v>80</v>
      </c>
      <c r="B32" s="26" t="s">
        <v>67</v>
      </c>
      <c r="C32" s="14" t="s">
        <v>62</v>
      </c>
      <c r="D32" s="15" t="s">
        <v>27</v>
      </c>
      <c r="E32" s="15" t="s">
        <v>28</v>
      </c>
      <c r="F32" s="12" t="s">
        <v>33</v>
      </c>
      <c r="G32" s="36"/>
      <c r="H32" s="24">
        <v>45778.0</v>
      </c>
      <c r="I32" s="14" t="s">
        <v>30</v>
      </c>
      <c r="J32" s="25"/>
      <c r="K32" s="28" t="s">
        <v>190</v>
      </c>
      <c r="L32" s="145" t="s">
        <v>191</v>
      </c>
      <c r="M32" s="146">
        <v>85.0</v>
      </c>
      <c r="N32" s="137" t="s">
        <v>192</v>
      </c>
      <c r="O32" s="146">
        <v>75.0</v>
      </c>
      <c r="P32" s="145" t="s">
        <v>193</v>
      </c>
      <c r="Q32" s="146">
        <v>70.0</v>
      </c>
      <c r="R32" s="136" t="s">
        <v>194</v>
      </c>
    </row>
    <row r="33">
      <c r="A33" s="19" t="s">
        <v>79</v>
      </c>
      <c r="B33" s="26" t="s">
        <v>76</v>
      </c>
      <c r="C33" s="30" t="s">
        <v>62</v>
      </c>
      <c r="D33" s="30" t="s">
        <v>27</v>
      </c>
      <c r="E33" s="30" t="s">
        <v>28</v>
      </c>
      <c r="F33" s="12" t="s">
        <v>33</v>
      </c>
      <c r="G33" s="33" t="s">
        <v>61</v>
      </c>
      <c r="H33" s="29">
        <v>46027.0</v>
      </c>
      <c r="I33" s="34" t="s">
        <v>38</v>
      </c>
      <c r="J33" s="24">
        <f>H33+21</f>
        <v>46048</v>
      </c>
      <c r="K33" s="28" t="s">
        <v>195</v>
      </c>
      <c r="L33" s="146" t="s">
        <v>185</v>
      </c>
      <c r="M33" s="146" t="s">
        <v>185</v>
      </c>
      <c r="N33" s="146" t="s">
        <v>185</v>
      </c>
      <c r="O33" s="146" t="s">
        <v>185</v>
      </c>
      <c r="P33" s="146" t="s">
        <v>185</v>
      </c>
      <c r="Q33" s="146" t="s">
        <v>185</v>
      </c>
      <c r="R33" s="44"/>
    </row>
    <row r="34">
      <c r="K34" s="149"/>
      <c r="L34" s="149"/>
      <c r="M34" s="149"/>
      <c r="N34" s="149"/>
      <c r="O34" s="149"/>
      <c r="P34" s="149"/>
      <c r="Q34" s="149"/>
      <c r="R34" s="149"/>
    </row>
    <row r="35">
      <c r="K35" s="149"/>
      <c r="L35" s="149"/>
      <c r="M35" s="149"/>
      <c r="N35" s="149"/>
      <c r="O35" s="149"/>
      <c r="P35" s="149"/>
      <c r="Q35" s="149"/>
      <c r="R35" s="149"/>
    </row>
  </sheetData>
  <autoFilter ref="$A$2:$P$33">
    <filterColumn colId="2">
      <filters>
        <filter val="AE"/>
      </filters>
    </filterColumn>
    <filterColumn colId="1">
      <filters blank="1">
        <filter val="M1"/>
        <filter val="M2"/>
      </filters>
    </filterColumn>
    <sortState ref="A2:P33">
      <sortCondition ref="F2:F33"/>
    </sortState>
  </autoFilter>
  <mergeCells count="2">
    <mergeCell ref="B1:H1"/>
    <mergeCell ref="I1:K1"/>
  </mergeCells>
  <dataValidations>
    <dataValidation type="list" allowBlank="1" sqref="D3:D33">
      <formula1>"SMB,Mid Market,ENT"</formula1>
    </dataValidation>
    <dataValidation type="list" allowBlank="1" sqref="I3:I33">
      <formula1>"ramped,ramping"</formula1>
    </dataValidation>
    <dataValidation type="list" allowBlank="1" sqref="E3:E33">
      <formula1>"NYC,Tampa,SF,Remote"</formula1>
    </dataValidation>
    <dataValidation type="list" allowBlank="1" showErrorMessage="1" sqref="C3:C33">
      <formula1>"AE,SDR,Manager,SDR Team Lead"</formula1>
    </dataValidation>
    <dataValidation type="list" allowBlank="1" sqref="B3:B33">
      <formula1>"M1,M2,M3,M4+"</formula1>
    </dataValidation>
  </dataValidations>
  <hyperlinks>
    <hyperlink r:id="rId1" ref="A3"/>
    <hyperlink r:id="rId2" ref="F3"/>
    <hyperlink r:id="rId3" ref="A4"/>
    <hyperlink r:id="rId4" ref="F4"/>
    <hyperlink r:id="rId5" ref="A5"/>
    <hyperlink r:id="rId6" ref="F5"/>
    <hyperlink r:id="rId7" ref="F6"/>
    <hyperlink r:id="rId8" ref="F7"/>
    <hyperlink r:id="rId9" ref="F8"/>
    <hyperlink r:id="rId10" ref="F9"/>
    <hyperlink r:id="rId11" ref="A10"/>
    <hyperlink r:id="rId12" ref="F10"/>
    <hyperlink r:id="rId13" ref="A11"/>
    <hyperlink r:id="rId14" ref="F11"/>
    <hyperlink r:id="rId15" ref="A12"/>
    <hyperlink r:id="rId16" ref="F12"/>
    <hyperlink r:id="rId17" ref="A13"/>
    <hyperlink r:id="rId18" ref="F13"/>
    <hyperlink r:id="rId19" ref="A14"/>
    <hyperlink r:id="rId20" ref="F14"/>
    <hyperlink r:id="rId21" ref="F15"/>
    <hyperlink r:id="rId22" ref="A16"/>
    <hyperlink r:id="rId23" ref="F16"/>
    <hyperlink r:id="rId24" ref="A17"/>
    <hyperlink r:id="rId25" ref="F17"/>
    <hyperlink r:id="rId26" ref="A18"/>
    <hyperlink r:id="rId27" ref="F18"/>
    <hyperlink r:id="rId28" ref="A19"/>
    <hyperlink r:id="rId29" ref="F19"/>
    <hyperlink r:id="rId30" ref="A20"/>
    <hyperlink r:id="rId31" ref="F20"/>
    <hyperlink r:id="rId32" ref="K20"/>
    <hyperlink r:id="rId33" ref="A21"/>
    <hyperlink r:id="rId34" ref="F21"/>
    <hyperlink r:id="rId35" ref="K21"/>
    <hyperlink r:id="rId36" ref="A22"/>
    <hyperlink r:id="rId37" ref="F22"/>
    <hyperlink r:id="rId38" ref="K22"/>
    <hyperlink r:id="rId39" ref="A23"/>
    <hyperlink r:id="rId40" ref="F23"/>
    <hyperlink r:id="rId41" ref="G23"/>
    <hyperlink r:id="rId42" ref="K23"/>
    <hyperlink r:id="rId43" ref="L23"/>
    <hyperlink r:id="rId44" ref="N23"/>
    <hyperlink r:id="rId45" ref="P23"/>
    <hyperlink r:id="rId46" location="heading=h.yzw6eckf81ay" ref="R23"/>
    <hyperlink r:id="rId47" ref="A24"/>
    <hyperlink r:id="rId48" ref="F24"/>
    <hyperlink r:id="rId49" ref="G24"/>
    <hyperlink r:id="rId50" ref="K24"/>
    <hyperlink r:id="rId51" ref="A25"/>
    <hyperlink r:id="rId52" ref="F25"/>
    <hyperlink r:id="rId53" ref="K25"/>
    <hyperlink r:id="rId54" ref="L25"/>
    <hyperlink r:id="rId55" ref="N25"/>
    <hyperlink r:id="rId56" ref="P25"/>
    <hyperlink r:id="rId57" ref="A26"/>
    <hyperlink r:id="rId58" ref="F26"/>
    <hyperlink r:id="rId59" ref="G26"/>
    <hyperlink r:id="rId60" ref="K26"/>
    <hyperlink r:id="rId61" ref="A27"/>
    <hyperlink r:id="rId62" ref="F27"/>
    <hyperlink r:id="rId63" ref="G27"/>
    <hyperlink r:id="rId64" ref="K27"/>
    <hyperlink r:id="rId65" ref="L27"/>
    <hyperlink r:id="rId66" ref="N27"/>
    <hyperlink r:id="rId67" ref="P27"/>
    <hyperlink r:id="rId68" location="heading=h.yzw6eckf81ay" ref="R27"/>
    <hyperlink r:id="rId69" ref="A28"/>
    <hyperlink r:id="rId70" ref="F28"/>
    <hyperlink r:id="rId71" ref="A29"/>
    <hyperlink r:id="rId72" ref="F29"/>
    <hyperlink r:id="rId73" ref="G29"/>
    <hyperlink r:id="rId74" ref="A30"/>
    <hyperlink r:id="rId75" ref="F30"/>
    <hyperlink r:id="rId76" location="gid=1369044100" ref="K30"/>
    <hyperlink r:id="rId77" ref="A31"/>
    <hyperlink r:id="rId78" ref="F31"/>
    <hyperlink r:id="rId79" ref="G31"/>
    <hyperlink r:id="rId80" location="gid=0" ref="K31"/>
    <hyperlink r:id="rId81" ref="L31"/>
    <hyperlink r:id="rId82" ref="N31"/>
    <hyperlink r:id="rId83" ref="P31"/>
    <hyperlink r:id="rId84" ref="A32"/>
    <hyperlink r:id="rId85" ref="F32"/>
    <hyperlink r:id="rId86" location="gid=0" ref="K32"/>
    <hyperlink r:id="rId87" ref="L32"/>
    <hyperlink r:id="rId88" ref="N32"/>
    <hyperlink r:id="rId89" ref="P32"/>
    <hyperlink r:id="rId90" location="heading=h.yzw6eckf81ay" ref="R32"/>
    <hyperlink r:id="rId91" ref="A33"/>
    <hyperlink r:id="rId92" ref="F33"/>
    <hyperlink r:id="rId93" ref="G33"/>
    <hyperlink r:id="rId94" location="gid=0" ref="K33"/>
  </hyperlinks>
  <drawing r:id="rId9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13"/>
    <col customWidth="1" min="9" max="9" width="17.0"/>
    <col customWidth="1" min="10" max="10" width="12.25"/>
    <col customWidth="1" min="11" max="11" width="17.5"/>
    <col customWidth="1" min="12" max="12" width="32.0"/>
  </cols>
  <sheetData>
    <row r="1">
      <c r="A1" s="150" t="s">
        <v>81</v>
      </c>
      <c r="B1" s="150"/>
      <c r="C1" s="39" t="s">
        <v>196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0"/>
      <c r="P1" s="3"/>
      <c r="Q1" s="3"/>
      <c r="R1" s="4"/>
      <c r="S1" s="151"/>
      <c r="T1" s="151"/>
      <c r="U1" s="151"/>
      <c r="V1" s="151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</row>
    <row r="2">
      <c r="A2" s="153" t="s">
        <v>4</v>
      </c>
      <c r="B2" s="153" t="s">
        <v>197</v>
      </c>
      <c r="C2" s="153" t="s">
        <v>6</v>
      </c>
      <c r="D2" s="153" t="s">
        <v>7</v>
      </c>
      <c r="E2" s="153" t="s">
        <v>8</v>
      </c>
      <c r="F2" s="153" t="s">
        <v>198</v>
      </c>
      <c r="G2" s="153" t="s">
        <v>199</v>
      </c>
      <c r="H2" s="153" t="s">
        <v>200</v>
      </c>
      <c r="I2" s="153" t="s">
        <v>201</v>
      </c>
      <c r="J2" s="153" t="s">
        <v>202</v>
      </c>
      <c r="K2" s="153" t="s">
        <v>203</v>
      </c>
      <c r="L2" s="153" t="s">
        <v>9</v>
      </c>
    </row>
    <row r="3">
      <c r="A3" s="26" t="s">
        <v>204</v>
      </c>
      <c r="B3" s="154" t="s">
        <v>204</v>
      </c>
      <c r="C3" s="26" t="s">
        <v>36</v>
      </c>
      <c r="D3" s="26" t="s">
        <v>91</v>
      </c>
      <c r="E3" s="26" t="s">
        <v>46</v>
      </c>
      <c r="F3" s="155" t="s">
        <v>205</v>
      </c>
      <c r="G3" s="155" t="s">
        <v>206</v>
      </c>
      <c r="H3" s="155" t="s">
        <v>207</v>
      </c>
      <c r="I3" s="155" t="s">
        <v>208</v>
      </c>
      <c r="J3" s="156" t="s">
        <v>209</v>
      </c>
      <c r="K3" s="157">
        <v>46125.0</v>
      </c>
      <c r="L3" s="26" t="s">
        <v>29</v>
      </c>
    </row>
    <row r="4">
      <c r="A4" s="26" t="s">
        <v>210</v>
      </c>
      <c r="B4" s="158" t="s">
        <v>211</v>
      </c>
      <c r="C4" s="26" t="s">
        <v>36</v>
      </c>
      <c r="D4" s="26" t="s">
        <v>91</v>
      </c>
      <c r="E4" s="26" t="s">
        <v>46</v>
      </c>
      <c r="F4" s="155" t="s">
        <v>205</v>
      </c>
      <c r="G4" s="155" t="s">
        <v>206</v>
      </c>
      <c r="H4" s="155" t="s">
        <v>207</v>
      </c>
      <c r="I4" s="155" t="s">
        <v>208</v>
      </c>
      <c r="J4" s="156" t="s">
        <v>209</v>
      </c>
      <c r="K4" s="157">
        <v>46125.0</v>
      </c>
      <c r="L4" s="26" t="s">
        <v>29</v>
      </c>
    </row>
    <row r="5">
      <c r="A5" s="26" t="s">
        <v>212</v>
      </c>
      <c r="B5" s="154" t="s">
        <v>212</v>
      </c>
      <c r="C5" s="26" t="s">
        <v>36</v>
      </c>
      <c r="D5" s="26" t="s">
        <v>91</v>
      </c>
      <c r="E5" s="26" t="s">
        <v>46</v>
      </c>
      <c r="F5" s="155" t="s">
        <v>206</v>
      </c>
      <c r="G5" s="155" t="s">
        <v>205</v>
      </c>
      <c r="H5" s="159" t="s">
        <v>213</v>
      </c>
      <c r="I5" s="26"/>
      <c r="J5" s="26"/>
      <c r="K5" s="26"/>
      <c r="L5" s="26" t="s">
        <v>29</v>
      </c>
    </row>
    <row r="6">
      <c r="A6" s="26" t="s">
        <v>214</v>
      </c>
      <c r="B6" s="158" t="s">
        <v>215</v>
      </c>
      <c r="C6" s="26" t="s">
        <v>36</v>
      </c>
      <c r="D6" s="26" t="s">
        <v>91</v>
      </c>
      <c r="E6" s="26" t="s">
        <v>46</v>
      </c>
      <c r="F6" s="155" t="s">
        <v>216</v>
      </c>
      <c r="G6" s="155" t="s">
        <v>206</v>
      </c>
      <c r="H6" s="155" t="s">
        <v>217</v>
      </c>
      <c r="I6" s="155" t="s">
        <v>218</v>
      </c>
      <c r="J6" s="26" t="s">
        <v>95</v>
      </c>
      <c r="K6" s="26"/>
      <c r="L6" s="26" t="s">
        <v>29</v>
      </c>
    </row>
    <row r="7">
      <c r="A7" s="26" t="s">
        <v>219</v>
      </c>
      <c r="B7" s="158" t="s">
        <v>220</v>
      </c>
      <c r="C7" s="26" t="s">
        <v>36</v>
      </c>
      <c r="D7" s="26" t="s">
        <v>91</v>
      </c>
      <c r="E7" s="26" t="s">
        <v>46</v>
      </c>
      <c r="F7" s="160" t="s">
        <v>221</v>
      </c>
      <c r="G7" s="160" t="s">
        <v>222</v>
      </c>
      <c r="H7" s="159" t="s">
        <v>213</v>
      </c>
      <c r="I7" s="26"/>
      <c r="J7" s="26"/>
      <c r="K7" s="26"/>
      <c r="L7" s="26" t="s">
        <v>29</v>
      </c>
    </row>
    <row r="8">
      <c r="A8" s="26" t="s">
        <v>223</v>
      </c>
      <c r="B8" s="161"/>
      <c r="C8" s="26" t="s">
        <v>36</v>
      </c>
      <c r="D8" s="26" t="s">
        <v>91</v>
      </c>
      <c r="E8" s="26" t="s">
        <v>46</v>
      </c>
      <c r="F8" s="155" t="s">
        <v>206</v>
      </c>
      <c r="G8" s="155" t="s">
        <v>224</v>
      </c>
      <c r="H8" s="26" t="s">
        <v>213</v>
      </c>
      <c r="I8" s="26"/>
      <c r="J8" s="26"/>
      <c r="K8" s="26"/>
      <c r="L8" s="26" t="s">
        <v>29</v>
      </c>
    </row>
    <row r="9">
      <c r="A9" s="26" t="s">
        <v>225</v>
      </c>
      <c r="B9" s="154" t="s">
        <v>225</v>
      </c>
      <c r="C9" s="26" t="s">
        <v>36</v>
      </c>
      <c r="D9" s="26" t="s">
        <v>91</v>
      </c>
      <c r="E9" s="26" t="s">
        <v>28</v>
      </c>
      <c r="F9" s="155" t="s">
        <v>206</v>
      </c>
      <c r="G9" s="155" t="s">
        <v>224</v>
      </c>
      <c r="H9" s="26" t="s">
        <v>213</v>
      </c>
      <c r="I9" s="26"/>
      <c r="J9" s="26"/>
      <c r="K9" s="26"/>
      <c r="L9" s="26" t="s">
        <v>29</v>
      </c>
    </row>
    <row r="10">
      <c r="A10" s="26" t="s">
        <v>226</v>
      </c>
      <c r="C10" s="26" t="s">
        <v>36</v>
      </c>
      <c r="D10" s="26" t="s">
        <v>91</v>
      </c>
      <c r="E10" s="26" t="s">
        <v>46</v>
      </c>
      <c r="F10" s="26" t="s">
        <v>227</v>
      </c>
      <c r="L10" s="26" t="s">
        <v>29</v>
      </c>
    </row>
  </sheetData>
  <mergeCells count="2">
    <mergeCell ref="C1:N1"/>
    <mergeCell ref="O1:R1"/>
  </mergeCells>
  <dataValidations>
    <dataValidation type="list" allowBlank="1" showErrorMessage="1" sqref="L3:L10">
      <formula1>"Brian Sufalko"</formula1>
    </dataValidation>
  </dataValidations>
  <hyperlinks>
    <hyperlink r:id="rId1" ref="B3"/>
    <hyperlink r:id="rId2" ref="B4"/>
    <hyperlink r:id="rId3" ref="B5"/>
    <hyperlink r:id="rId4" ref="B6"/>
    <hyperlink r:id="rId5" ref="B7"/>
    <hyperlink r:id="rId6" ref="B9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  <col customWidth="1" min="3" max="3" width="86.38"/>
    <col customWidth="1" min="4" max="4" width="22.5"/>
  </cols>
  <sheetData>
    <row r="1">
      <c r="A1" s="162" t="s">
        <v>228</v>
      </c>
      <c r="B1" s="163"/>
      <c r="C1" s="163"/>
      <c r="D1" s="163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</row>
    <row r="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</row>
    <row r="3">
      <c r="A3" s="165"/>
      <c r="B3" s="165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>
      <c r="A4" s="166"/>
      <c r="B4" s="167" t="s">
        <v>229</v>
      </c>
      <c r="C4" s="167" t="s">
        <v>230</v>
      </c>
      <c r="D4" s="167" t="s">
        <v>12</v>
      </c>
      <c r="E4" s="164"/>
      <c r="F4" s="164"/>
      <c r="G4" s="164"/>
      <c r="H4" s="164"/>
      <c r="I4" s="164"/>
      <c r="J4" s="164"/>
      <c r="K4" s="164"/>
      <c r="L4" s="164"/>
      <c r="M4" s="164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</row>
    <row r="5">
      <c r="A5" s="169" t="s">
        <v>231</v>
      </c>
      <c r="B5" s="3"/>
      <c r="C5" s="3"/>
      <c r="D5" s="4"/>
      <c r="E5" s="164"/>
      <c r="F5" s="164"/>
      <c r="G5" s="164"/>
      <c r="H5" s="164"/>
      <c r="I5" s="164"/>
      <c r="J5" s="164"/>
      <c r="K5" s="164"/>
      <c r="L5" s="164"/>
      <c r="M5" s="164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</row>
    <row r="6">
      <c r="A6" s="170">
        <v>1.0</v>
      </c>
      <c r="B6" s="171" t="s">
        <v>232</v>
      </c>
      <c r="C6" s="172" t="s">
        <v>233</v>
      </c>
      <c r="D6" s="173" t="s">
        <v>234</v>
      </c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</row>
    <row r="7">
      <c r="A7" s="174">
        <v>2.0</v>
      </c>
      <c r="B7" s="175" t="s">
        <v>235</v>
      </c>
      <c r="C7" s="176" t="s">
        <v>236</v>
      </c>
      <c r="D7" s="173" t="s">
        <v>237</v>
      </c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</row>
    <row r="8">
      <c r="A8" s="170">
        <v>3.0</v>
      </c>
      <c r="B8" s="171" t="s">
        <v>238</v>
      </c>
      <c r="C8" s="172" t="s">
        <v>239</v>
      </c>
      <c r="D8" s="173" t="s">
        <v>237</v>
      </c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</row>
    <row r="9">
      <c r="A9" s="174">
        <v>4.0</v>
      </c>
      <c r="B9" s="175" t="s">
        <v>240</v>
      </c>
      <c r="C9" s="176" t="s">
        <v>241</v>
      </c>
      <c r="D9" s="173" t="s">
        <v>237</v>
      </c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</row>
    <row r="10">
      <c r="A10" s="170">
        <v>5.0</v>
      </c>
      <c r="B10" s="171" t="s">
        <v>242</v>
      </c>
      <c r="C10" s="172" t="s">
        <v>243</v>
      </c>
      <c r="D10" s="173" t="s">
        <v>234</v>
      </c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</row>
    <row r="11">
      <c r="A11" s="174">
        <v>6.0</v>
      </c>
      <c r="B11" s="175" t="s">
        <v>244</v>
      </c>
      <c r="C11" s="176" t="s">
        <v>245</v>
      </c>
      <c r="D11" s="173" t="s">
        <v>234</v>
      </c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</row>
    <row r="12">
      <c r="A12" s="169" t="s">
        <v>246</v>
      </c>
      <c r="B12" s="3"/>
      <c r="C12" s="3"/>
      <c r="D12" s="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</row>
    <row r="13">
      <c r="A13" s="170">
        <v>7.0</v>
      </c>
      <c r="B13" s="171" t="s">
        <v>247</v>
      </c>
      <c r="C13" s="172" t="s">
        <v>248</v>
      </c>
      <c r="D13" s="173" t="s">
        <v>234</v>
      </c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</row>
    <row r="14">
      <c r="A14" s="174">
        <v>8.0</v>
      </c>
      <c r="B14" s="175" t="s">
        <v>249</v>
      </c>
      <c r="C14" s="176" t="s">
        <v>250</v>
      </c>
      <c r="D14" s="173" t="s">
        <v>234</v>
      </c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</row>
    <row r="15">
      <c r="A15" s="170">
        <v>9.0</v>
      </c>
      <c r="B15" s="171" t="s">
        <v>251</v>
      </c>
      <c r="C15" s="172" t="s">
        <v>252</v>
      </c>
      <c r="D15" s="173" t="s">
        <v>234</v>
      </c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</row>
    <row r="16">
      <c r="A16" s="174">
        <v>10.0</v>
      </c>
      <c r="B16" s="175" t="s">
        <v>253</v>
      </c>
      <c r="C16" s="176" t="s">
        <v>254</v>
      </c>
      <c r="D16" s="173" t="s">
        <v>234</v>
      </c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</row>
    <row r="17">
      <c r="A17" s="169" t="s">
        <v>255</v>
      </c>
      <c r="B17" s="3"/>
      <c r="C17" s="3"/>
      <c r="D17" s="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>
      <c r="A18" s="170">
        <v>11.0</v>
      </c>
      <c r="B18" s="171" t="s">
        <v>256</v>
      </c>
      <c r="C18" s="172" t="s">
        <v>257</v>
      </c>
      <c r="D18" s="173" t="s">
        <v>234</v>
      </c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</row>
    <row r="19">
      <c r="A19" s="174">
        <v>12.0</v>
      </c>
      <c r="B19" s="175" t="s">
        <v>258</v>
      </c>
      <c r="C19" s="176" t="s">
        <v>259</v>
      </c>
      <c r="D19" s="173" t="s">
        <v>234</v>
      </c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</row>
    <row r="20">
      <c r="A20" s="170">
        <v>13.0</v>
      </c>
      <c r="B20" s="171" t="s">
        <v>260</v>
      </c>
      <c r="C20" s="172" t="s">
        <v>261</v>
      </c>
      <c r="D20" s="173" t="s">
        <v>237</v>
      </c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</row>
    <row r="21">
      <c r="A21" s="170">
        <v>14.0</v>
      </c>
      <c r="B21" s="171" t="s">
        <v>262</v>
      </c>
      <c r="C21" s="172" t="s">
        <v>263</v>
      </c>
      <c r="D21" s="173" t="s">
        <v>234</v>
      </c>
      <c r="E21" s="164"/>
      <c r="F21" s="164"/>
      <c r="G21" s="164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</row>
    <row r="22">
      <c r="A22" s="174">
        <v>15.0</v>
      </c>
      <c r="B22" s="175" t="s">
        <v>264</v>
      </c>
      <c r="C22" s="176" t="s">
        <v>265</v>
      </c>
      <c r="D22" s="173" t="s">
        <v>237</v>
      </c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</row>
    <row r="23">
      <c r="A23" s="170">
        <v>16.0</v>
      </c>
      <c r="B23" s="171" t="s">
        <v>266</v>
      </c>
      <c r="C23" s="172" t="s">
        <v>267</v>
      </c>
      <c r="D23" s="173" t="s">
        <v>237</v>
      </c>
      <c r="E23" s="164"/>
      <c r="F23" s="164"/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</row>
    <row r="24">
      <c r="A24" s="169" t="s">
        <v>268</v>
      </c>
      <c r="B24" s="3"/>
      <c r="C24" s="3"/>
      <c r="D24" s="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</row>
    <row r="25">
      <c r="A25" s="170">
        <v>17.0</v>
      </c>
      <c r="B25" s="171" t="s">
        <v>269</v>
      </c>
      <c r="C25" s="172" t="s">
        <v>270</v>
      </c>
      <c r="D25" s="173" t="s">
        <v>237</v>
      </c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</row>
    <row r="26">
      <c r="A26" s="174">
        <v>18.0</v>
      </c>
      <c r="B26" s="175" t="s">
        <v>271</v>
      </c>
      <c r="C26" s="176" t="s">
        <v>272</v>
      </c>
      <c r="D26" s="173" t="s">
        <v>237</v>
      </c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</row>
    <row r="27">
      <c r="A27" s="169" t="s">
        <v>273</v>
      </c>
      <c r="B27" s="3"/>
      <c r="C27" s="3"/>
      <c r="D27" s="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</row>
    <row r="28">
      <c r="A28" s="170">
        <v>19.0</v>
      </c>
      <c r="B28" s="171" t="s">
        <v>274</v>
      </c>
      <c r="C28" s="172" t="s">
        <v>275</v>
      </c>
      <c r="D28" s="173" t="s">
        <v>234</v>
      </c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</row>
    <row r="29">
      <c r="A29" s="174">
        <v>20.0</v>
      </c>
      <c r="B29" s="175" t="s">
        <v>276</v>
      </c>
      <c r="C29" s="176" t="s">
        <v>277</v>
      </c>
      <c r="D29" s="173" t="s">
        <v>234</v>
      </c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</row>
    <row r="30">
      <c r="A30" s="170">
        <v>21.0</v>
      </c>
      <c r="B30" s="171" t="s">
        <v>278</v>
      </c>
      <c r="C30" s="172" t="s">
        <v>279</v>
      </c>
      <c r="D30" s="173" t="s">
        <v>234</v>
      </c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</row>
    <row r="31">
      <c r="A31" s="174">
        <v>22.0</v>
      </c>
      <c r="B31" s="175" t="s">
        <v>280</v>
      </c>
      <c r="C31" s="176" t="s">
        <v>281</v>
      </c>
      <c r="D31" s="173" t="s">
        <v>234</v>
      </c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</row>
    <row r="32">
      <c r="A32" s="174">
        <v>23.0</v>
      </c>
      <c r="B32" s="175" t="s">
        <v>282</v>
      </c>
      <c r="C32" s="176" t="s">
        <v>283</v>
      </c>
      <c r="D32" s="173" t="s">
        <v>234</v>
      </c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</row>
    <row r="33">
      <c r="A33" s="169" t="s">
        <v>284</v>
      </c>
      <c r="B33" s="3"/>
      <c r="C33" s="3"/>
      <c r="D33" s="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</row>
    <row r="34">
      <c r="A34" s="170">
        <v>24.0</v>
      </c>
      <c r="B34" s="171" t="s">
        <v>285</v>
      </c>
      <c r="C34" s="172" t="s">
        <v>286</v>
      </c>
      <c r="D34" s="173" t="s">
        <v>234</v>
      </c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</row>
    <row r="35">
      <c r="A35" s="174">
        <v>25.0</v>
      </c>
      <c r="B35" s="175" t="s">
        <v>287</v>
      </c>
      <c r="C35" s="176" t="s">
        <v>288</v>
      </c>
      <c r="D35" s="173" t="s">
        <v>237</v>
      </c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</row>
    <row r="36">
      <c r="A36" s="174">
        <v>26.0</v>
      </c>
      <c r="B36" s="175" t="s">
        <v>289</v>
      </c>
      <c r="C36" s="176" t="s">
        <v>290</v>
      </c>
      <c r="D36" s="173" t="s">
        <v>234</v>
      </c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</row>
    <row r="37">
      <c r="A37" s="164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</row>
    <row r="38">
      <c r="A38" s="164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</row>
    <row r="39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</row>
    <row r="4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</row>
    <row r="42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</row>
    <row r="43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</row>
    <row r="44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</row>
    <row r="45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</row>
    <row r="46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</row>
    <row r="47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</row>
    <row r="48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</row>
    <row r="49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</row>
    <row r="50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</row>
    <row r="5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</row>
    <row r="52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</row>
    <row r="53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</row>
    <row r="54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</row>
    <row r="55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</row>
    <row r="56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</row>
    <row r="57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</row>
    <row r="58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</row>
    <row r="59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</row>
    <row r="60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</row>
    <row r="6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</row>
    <row r="62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</row>
    <row r="63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</row>
    <row r="64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</row>
    <row r="65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</row>
    <row r="66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</row>
    <row r="67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</row>
    <row r="68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</row>
    <row r="69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</row>
    <row r="70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</row>
    <row r="7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</row>
    <row r="72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</row>
    <row r="73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</row>
    <row r="74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</row>
    <row r="7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</row>
    <row r="76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</row>
    <row r="77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</row>
    <row r="78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</row>
    <row r="79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</row>
    <row r="80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</row>
    <row r="8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</row>
    <row r="82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</row>
    <row r="83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</row>
    <row r="84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</row>
    <row r="85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</row>
    <row r="86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</row>
    <row r="87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</row>
    <row r="88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</row>
    <row r="89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</row>
    <row r="90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</row>
    <row r="9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</row>
    <row r="92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</row>
    <row r="93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</row>
    <row r="94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</row>
    <row r="95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</row>
    <row r="96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</row>
    <row r="97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</row>
    <row r="98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</row>
    <row r="99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</row>
    <row r="100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</row>
    <row r="10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</row>
    <row r="102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</row>
    <row r="103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</row>
    <row r="104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</row>
    <row r="105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</row>
    <row r="106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</row>
    <row r="107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</row>
    <row r="108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</row>
    <row r="109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</row>
    <row r="110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</row>
    <row r="11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</row>
    <row r="112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</row>
    <row r="113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</row>
    <row r="114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</row>
    <row r="115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</row>
    <row r="116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</row>
    <row r="117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</row>
    <row r="118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</row>
    <row r="119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</row>
    <row r="120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</row>
    <row r="12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</row>
    <row r="122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</row>
    <row r="123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</row>
    <row r="124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</row>
    <row r="125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</row>
    <row r="126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</row>
    <row r="127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</row>
    <row r="128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</row>
    <row r="129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</row>
    <row r="130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</row>
    <row r="13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</row>
    <row r="132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</row>
    <row r="133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</row>
    <row r="134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</row>
    <row r="135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</row>
    <row r="136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</row>
    <row r="137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</row>
    <row r="138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</row>
    <row r="139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</row>
    <row r="140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</row>
    <row r="14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</row>
    <row r="142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</row>
    <row r="143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</row>
    <row r="144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</row>
    <row r="145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</row>
    <row r="146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</row>
    <row r="147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</row>
    <row r="148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</row>
    <row r="149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</row>
    <row r="150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</row>
    <row r="15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</row>
    <row r="152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</row>
    <row r="153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</row>
    <row r="154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</row>
    <row r="155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</row>
    <row r="156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</row>
    <row r="157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</row>
    <row r="158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</row>
    <row r="159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</row>
    <row r="160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</row>
    <row r="16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</row>
    <row r="162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</row>
    <row r="163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</row>
    <row r="164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</row>
    <row r="165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</row>
    <row r="166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</row>
    <row r="167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</row>
    <row r="168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</row>
    <row r="169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</row>
    <row r="170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</row>
    <row r="17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</row>
    <row r="172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</row>
    <row r="173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</row>
    <row r="174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</row>
    <row r="175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</row>
    <row r="176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</row>
    <row r="177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</row>
    <row r="178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</row>
    <row r="179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</row>
    <row r="180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</row>
    <row r="18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</row>
    <row r="182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</row>
    <row r="183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</row>
    <row r="184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</row>
    <row r="185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</row>
    <row r="186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</row>
    <row r="187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</row>
    <row r="188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</row>
    <row r="189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</row>
    <row r="190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</row>
    <row r="19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</row>
    <row r="192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</row>
    <row r="193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</row>
    <row r="194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</row>
    <row r="195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</row>
    <row r="196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</row>
    <row r="197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</row>
    <row r="198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</row>
    <row r="199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</row>
    <row r="200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</row>
    <row r="20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</row>
    <row r="202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</row>
    <row r="203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</row>
    <row r="204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</row>
    <row r="205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</row>
    <row r="206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</row>
    <row r="207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</row>
    <row r="208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</row>
    <row r="209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</row>
    <row r="210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</row>
    <row r="21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</row>
    <row r="212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</row>
    <row r="213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</row>
    <row r="214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</row>
    <row r="215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</row>
    <row r="216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</row>
    <row r="217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</row>
    <row r="218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</row>
    <row r="219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</row>
    <row r="220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</row>
    <row r="22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</row>
    <row r="222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</row>
    <row r="223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</row>
    <row r="224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</row>
    <row r="225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</row>
    <row r="226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</row>
    <row r="227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</row>
    <row r="228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</row>
    <row r="229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</row>
    <row r="230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</row>
    <row r="23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</row>
    <row r="232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</row>
    <row r="233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</row>
    <row r="234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</row>
    <row r="235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</row>
    <row r="236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</row>
    <row r="237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</row>
    <row r="238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</row>
    <row r="239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</row>
    <row r="240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</row>
    <row r="241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</row>
    <row r="242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</row>
    <row r="243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</row>
    <row r="244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</row>
    <row r="245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</row>
    <row r="246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</row>
    <row r="247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</row>
    <row r="248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</row>
    <row r="249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</row>
    <row r="250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</row>
    <row r="251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</row>
    <row r="252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</row>
    <row r="253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</row>
    <row r="254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</row>
    <row r="255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</row>
    <row r="256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</row>
    <row r="257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</row>
    <row r="258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</row>
    <row r="259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</row>
    <row r="260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</row>
    <row r="261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</row>
    <row r="262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</row>
    <row r="263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</row>
    <row r="264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</row>
    <row r="265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</row>
    <row r="266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</row>
    <row r="267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</row>
    <row r="268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</row>
    <row r="269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</row>
    <row r="270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</row>
    <row r="271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</row>
    <row r="272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</row>
    <row r="273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</row>
    <row r="274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</row>
    <row r="275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</row>
    <row r="276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</row>
    <row r="277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</row>
    <row r="278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</row>
    <row r="279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</row>
    <row r="280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</row>
    <row r="28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</row>
    <row r="282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</row>
    <row r="283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</row>
    <row r="284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</row>
    <row r="285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</row>
    <row r="286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</row>
    <row r="287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</row>
    <row r="288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</row>
    <row r="289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</row>
    <row r="290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</row>
    <row r="29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</row>
    <row r="292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</row>
    <row r="293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</row>
    <row r="294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</row>
    <row r="295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</row>
    <row r="296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</row>
    <row r="297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</row>
    <row r="298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</row>
    <row r="299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</row>
    <row r="300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</row>
    <row r="30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</row>
    <row r="302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</row>
    <row r="303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</row>
    <row r="304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</row>
    <row r="305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</row>
    <row r="306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</row>
    <row r="307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</row>
    <row r="308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</row>
    <row r="309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</row>
    <row r="310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</row>
    <row r="31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</row>
    <row r="312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</row>
    <row r="313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</row>
    <row r="314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</row>
    <row r="315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</row>
    <row r="316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</row>
    <row r="317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</row>
    <row r="318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</row>
    <row r="319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</row>
    <row r="320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</row>
    <row r="32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</row>
    <row r="322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</row>
    <row r="323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</row>
    <row r="324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</row>
    <row r="325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</row>
    <row r="326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</row>
    <row r="327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</row>
    <row r="328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</row>
    <row r="329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</row>
    <row r="330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</row>
    <row r="33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</row>
    <row r="332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</row>
    <row r="333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</row>
    <row r="334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</row>
    <row r="335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</row>
    <row r="336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</row>
    <row r="337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</row>
    <row r="338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</row>
    <row r="339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</row>
    <row r="340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</row>
    <row r="34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</row>
    <row r="342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</row>
    <row r="343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</row>
    <row r="344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</row>
    <row r="345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</row>
    <row r="346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</row>
    <row r="347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</row>
    <row r="348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</row>
    <row r="349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</row>
    <row r="350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</row>
    <row r="35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</row>
    <row r="352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</row>
    <row r="353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</row>
    <row r="354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</row>
    <row r="355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</row>
    <row r="356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</row>
    <row r="357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</row>
    <row r="358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</row>
    <row r="359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</row>
    <row r="360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</row>
    <row r="36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</row>
    <row r="362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</row>
    <row r="363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</row>
    <row r="364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</row>
    <row r="365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</row>
    <row r="366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</row>
    <row r="367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</row>
    <row r="368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</row>
    <row r="369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</row>
    <row r="370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</row>
    <row r="37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</row>
    <row r="372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</row>
    <row r="373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</row>
    <row r="374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</row>
    <row r="375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</row>
    <row r="376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</row>
    <row r="377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</row>
    <row r="378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</row>
    <row r="379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</row>
    <row r="380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</row>
    <row r="38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</row>
    <row r="382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</row>
    <row r="383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</row>
    <row r="384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</row>
    <row r="385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</row>
    <row r="386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</row>
    <row r="387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</row>
    <row r="388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</row>
    <row r="389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</row>
    <row r="390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</row>
    <row r="39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</row>
    <row r="392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</row>
    <row r="393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</row>
    <row r="394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</row>
    <row r="395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</row>
    <row r="396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</row>
    <row r="397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</row>
    <row r="398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</row>
    <row r="399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</row>
    <row r="400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</row>
    <row r="40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</row>
    <row r="402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</row>
    <row r="403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</row>
    <row r="404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</row>
    <row r="405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</row>
    <row r="406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</row>
    <row r="407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</row>
    <row r="408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</row>
    <row r="409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</row>
    <row r="410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</row>
    <row r="41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</row>
    <row r="412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</row>
    <row r="413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</row>
    <row r="414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</row>
    <row r="415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</row>
    <row r="416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</row>
    <row r="417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</row>
    <row r="418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</row>
    <row r="419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</row>
    <row r="420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</row>
    <row r="42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</row>
    <row r="422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</row>
    <row r="423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</row>
    <row r="424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</row>
    <row r="425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</row>
    <row r="426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</row>
    <row r="427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</row>
    <row r="428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</row>
    <row r="429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</row>
    <row r="430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</row>
    <row r="43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</row>
    <row r="432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</row>
    <row r="433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</row>
    <row r="434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</row>
    <row r="435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</row>
    <row r="436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</row>
    <row r="437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</row>
    <row r="438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</row>
    <row r="439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</row>
    <row r="440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</row>
    <row r="44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</row>
    <row r="442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</row>
    <row r="443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</row>
    <row r="444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</row>
    <row r="445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</row>
    <row r="446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</row>
    <row r="447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</row>
    <row r="448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</row>
    <row r="449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</row>
    <row r="450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</row>
    <row r="45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</row>
    <row r="452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</row>
    <row r="453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</row>
    <row r="454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</row>
    <row r="455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</row>
    <row r="456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</row>
    <row r="457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</row>
    <row r="458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</row>
    <row r="459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</row>
    <row r="460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</row>
    <row r="46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</row>
    <row r="462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</row>
    <row r="463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</row>
    <row r="464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</row>
    <row r="465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</row>
    <row r="466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</row>
    <row r="467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</row>
    <row r="468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</row>
    <row r="469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</row>
    <row r="470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</row>
    <row r="47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</row>
    <row r="472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</row>
    <row r="473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</row>
    <row r="474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</row>
    <row r="475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</row>
    <row r="476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</row>
    <row r="477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</row>
    <row r="478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</row>
    <row r="479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</row>
    <row r="480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</row>
    <row r="48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</row>
    <row r="482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</row>
    <row r="483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</row>
    <row r="484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</row>
    <row r="485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</row>
    <row r="486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</row>
    <row r="487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</row>
    <row r="488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</row>
    <row r="489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</row>
    <row r="490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</row>
    <row r="49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</row>
    <row r="492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</row>
    <row r="493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</row>
    <row r="494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</row>
    <row r="495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</row>
    <row r="496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</row>
    <row r="497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</row>
    <row r="498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</row>
    <row r="499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</row>
    <row r="500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</row>
    <row r="50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</row>
    <row r="502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</row>
    <row r="503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</row>
    <row r="504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</row>
    <row r="505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</row>
    <row r="506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</row>
    <row r="507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</row>
    <row r="508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</row>
    <row r="509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</row>
    <row r="510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</row>
    <row r="51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</row>
    <row r="512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</row>
    <row r="513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</row>
    <row r="514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</row>
    <row r="515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</row>
    <row r="516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</row>
    <row r="517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</row>
    <row r="518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</row>
    <row r="519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</row>
    <row r="520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</row>
    <row r="52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</row>
    <row r="522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</row>
    <row r="523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</row>
    <row r="524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</row>
    <row r="525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</row>
    <row r="526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</row>
    <row r="527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</row>
    <row r="528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</row>
    <row r="529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</row>
    <row r="530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</row>
    <row r="53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</row>
    <row r="532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</row>
    <row r="533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</row>
    <row r="534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</row>
    <row r="535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</row>
    <row r="536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</row>
    <row r="537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</row>
    <row r="538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</row>
    <row r="539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</row>
    <row r="540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</row>
    <row r="54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</row>
    <row r="542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</row>
    <row r="543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</row>
    <row r="544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</row>
    <row r="545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</row>
    <row r="546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</row>
    <row r="547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</row>
    <row r="548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</row>
    <row r="549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</row>
    <row r="550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</row>
    <row r="55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</row>
    <row r="552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</row>
    <row r="553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</row>
    <row r="554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</row>
    <row r="555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</row>
    <row r="556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</row>
    <row r="557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</row>
    <row r="558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</row>
    <row r="559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</row>
    <row r="560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</row>
    <row r="56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</row>
    <row r="562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</row>
    <row r="563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</row>
    <row r="564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</row>
    <row r="565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</row>
    <row r="566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</row>
    <row r="567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</row>
    <row r="568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</row>
    <row r="569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</row>
    <row r="570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</row>
    <row r="57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</row>
    <row r="572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</row>
    <row r="573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</row>
    <row r="574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</row>
    <row r="575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</row>
    <row r="576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</row>
    <row r="577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</row>
    <row r="578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</row>
    <row r="579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</row>
    <row r="580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</row>
    <row r="58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</row>
    <row r="582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</row>
    <row r="583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</row>
    <row r="584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</row>
    <row r="585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</row>
    <row r="586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</row>
    <row r="587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</row>
    <row r="588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</row>
    <row r="589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</row>
    <row r="590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</row>
    <row r="59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</row>
    <row r="592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</row>
    <row r="593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</row>
    <row r="594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</row>
    <row r="595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</row>
    <row r="596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</row>
    <row r="597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</row>
    <row r="598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</row>
    <row r="599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</row>
    <row r="600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</row>
    <row r="60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</row>
    <row r="602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</row>
    <row r="603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</row>
    <row r="604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</row>
    <row r="605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</row>
    <row r="606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</row>
    <row r="607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</row>
    <row r="608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</row>
    <row r="609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</row>
    <row r="610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</row>
    <row r="61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</row>
    <row r="612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</row>
    <row r="613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</row>
    <row r="614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</row>
    <row r="615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</row>
    <row r="616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</row>
    <row r="617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</row>
    <row r="618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</row>
    <row r="619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</row>
    <row r="620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</row>
    <row r="62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</row>
    <row r="622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</row>
    <row r="623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</row>
    <row r="624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</row>
    <row r="625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</row>
    <row r="626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</row>
    <row r="627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</row>
    <row r="628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</row>
    <row r="629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</row>
    <row r="630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</row>
    <row r="63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</row>
    <row r="632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</row>
    <row r="633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</row>
    <row r="634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</row>
    <row r="635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</row>
    <row r="636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</row>
    <row r="637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</row>
    <row r="638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</row>
    <row r="639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</row>
    <row r="640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</row>
    <row r="64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</row>
    <row r="642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</row>
    <row r="643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</row>
    <row r="644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</row>
    <row r="645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</row>
    <row r="646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</row>
    <row r="647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</row>
    <row r="648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</row>
    <row r="649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</row>
    <row r="650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</row>
    <row r="65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</row>
    <row r="652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</row>
    <row r="653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</row>
    <row r="654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</row>
    <row r="655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</row>
    <row r="656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</row>
    <row r="657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</row>
    <row r="658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</row>
    <row r="659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</row>
    <row r="660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</row>
    <row r="66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</row>
    <row r="662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</row>
    <row r="663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</row>
    <row r="664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</row>
    <row r="665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</row>
    <row r="666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</row>
    <row r="667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</row>
    <row r="668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</row>
    <row r="669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</row>
    <row r="670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</row>
    <row r="67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</row>
    <row r="672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</row>
    <row r="673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</row>
    <row r="674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</row>
    <row r="675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</row>
    <row r="676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</row>
    <row r="677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</row>
    <row r="678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</row>
    <row r="679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</row>
    <row r="680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</row>
    <row r="68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</row>
    <row r="682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</row>
    <row r="683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</row>
    <row r="684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</row>
    <row r="685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</row>
    <row r="686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</row>
    <row r="687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</row>
    <row r="688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</row>
    <row r="689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</row>
    <row r="690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</row>
    <row r="69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</row>
    <row r="692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</row>
    <row r="693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</row>
    <row r="694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</row>
    <row r="695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</row>
    <row r="696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</row>
    <row r="697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</row>
    <row r="698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</row>
    <row r="699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</row>
    <row r="700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</row>
    <row r="70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</row>
    <row r="702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</row>
    <row r="703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</row>
    <row r="704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</row>
    <row r="705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</row>
    <row r="706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</row>
    <row r="707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</row>
    <row r="708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</row>
    <row r="709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</row>
    <row r="710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</row>
    <row r="71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</row>
    <row r="712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</row>
    <row r="713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</row>
    <row r="714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</row>
    <row r="715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</row>
    <row r="716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</row>
    <row r="717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</row>
    <row r="718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</row>
    <row r="719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</row>
    <row r="720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</row>
    <row r="72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</row>
    <row r="722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</row>
    <row r="723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</row>
    <row r="724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</row>
    <row r="725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</row>
    <row r="726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</row>
    <row r="727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</row>
    <row r="728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</row>
    <row r="729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</row>
    <row r="730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</row>
    <row r="73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</row>
    <row r="732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</row>
    <row r="733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</row>
    <row r="734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</row>
    <row r="735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</row>
    <row r="736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</row>
    <row r="737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</row>
    <row r="738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</row>
    <row r="739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</row>
    <row r="740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</row>
    <row r="74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</row>
    <row r="742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</row>
    <row r="743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</row>
    <row r="744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</row>
    <row r="745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</row>
    <row r="746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</row>
    <row r="747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</row>
    <row r="748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</row>
    <row r="749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</row>
    <row r="750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</row>
    <row r="75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</row>
    <row r="752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</row>
    <row r="753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</row>
    <row r="754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</row>
    <row r="755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</row>
    <row r="756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</row>
    <row r="757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</row>
    <row r="758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</row>
    <row r="759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</row>
    <row r="760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</row>
    <row r="76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</row>
    <row r="762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</row>
    <row r="763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</row>
    <row r="764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</row>
    <row r="765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</row>
    <row r="766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</row>
    <row r="767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</row>
    <row r="768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</row>
    <row r="769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</row>
    <row r="770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</row>
    <row r="77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</row>
    <row r="772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</row>
    <row r="773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</row>
    <row r="774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</row>
    <row r="775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</row>
    <row r="776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</row>
    <row r="777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</row>
    <row r="778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</row>
    <row r="779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</row>
    <row r="780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</row>
    <row r="78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</row>
    <row r="782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</row>
    <row r="783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</row>
    <row r="784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</row>
    <row r="785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</row>
    <row r="786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</row>
    <row r="787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</row>
    <row r="788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</row>
    <row r="789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</row>
    <row r="790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</row>
    <row r="79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</row>
    <row r="792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</row>
    <row r="793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</row>
    <row r="794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</row>
    <row r="795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</row>
    <row r="796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</row>
    <row r="797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</row>
    <row r="798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</row>
    <row r="799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</row>
    <row r="800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</row>
    <row r="80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</row>
    <row r="802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</row>
    <row r="803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</row>
    <row r="804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</row>
    <row r="805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</row>
    <row r="806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</row>
    <row r="807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</row>
    <row r="808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</row>
    <row r="809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</row>
    <row r="810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</row>
    <row r="81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</row>
    <row r="812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</row>
    <row r="813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</row>
    <row r="814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</row>
    <row r="815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</row>
    <row r="816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</row>
    <row r="817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</row>
    <row r="818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</row>
    <row r="819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</row>
    <row r="820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</row>
    <row r="82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</row>
    <row r="822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</row>
    <row r="823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</row>
    <row r="824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</row>
    <row r="825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</row>
    <row r="826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</row>
    <row r="827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</row>
    <row r="828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</row>
    <row r="829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</row>
    <row r="830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</row>
    <row r="83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</row>
    <row r="832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</row>
    <row r="833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</row>
    <row r="834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</row>
    <row r="835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</row>
    <row r="836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</row>
    <row r="837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</row>
    <row r="838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</row>
    <row r="839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</row>
    <row r="840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</row>
    <row r="84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</row>
    <row r="842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</row>
    <row r="843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</row>
    <row r="844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</row>
    <row r="845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</row>
    <row r="846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</row>
    <row r="847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</row>
    <row r="848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</row>
    <row r="849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</row>
    <row r="850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</row>
    <row r="85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</row>
    <row r="852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</row>
    <row r="853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</row>
    <row r="854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</row>
    <row r="855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</row>
    <row r="856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</row>
    <row r="857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</row>
    <row r="858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</row>
    <row r="859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</row>
    <row r="860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</row>
    <row r="86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</row>
    <row r="862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</row>
    <row r="863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</row>
    <row r="864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</row>
    <row r="865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</row>
    <row r="866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</row>
    <row r="867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</row>
    <row r="868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</row>
    <row r="869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</row>
    <row r="870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</row>
    <row r="87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</row>
    <row r="872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</row>
    <row r="873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</row>
    <row r="874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</row>
    <row r="875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</row>
    <row r="876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</row>
    <row r="877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</row>
    <row r="878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</row>
    <row r="879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</row>
    <row r="880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</row>
    <row r="88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</row>
    <row r="882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</row>
    <row r="883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</row>
    <row r="884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</row>
    <row r="885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</row>
    <row r="886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</row>
    <row r="887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</row>
    <row r="888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</row>
    <row r="889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</row>
    <row r="890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</row>
    <row r="89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</row>
    <row r="892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</row>
    <row r="893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</row>
    <row r="894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</row>
    <row r="895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</row>
    <row r="896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</row>
    <row r="897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</row>
    <row r="898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</row>
    <row r="899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</row>
    <row r="900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</row>
    <row r="90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</row>
    <row r="902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</row>
    <row r="903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</row>
    <row r="904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</row>
    <row r="905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</row>
    <row r="906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</row>
    <row r="907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</row>
    <row r="908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</row>
    <row r="909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</row>
    <row r="910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</row>
    <row r="91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</row>
    <row r="912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</row>
    <row r="913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</row>
    <row r="914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</row>
    <row r="915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</row>
    <row r="916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</row>
    <row r="917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</row>
    <row r="918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</row>
    <row r="919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</row>
    <row r="920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</row>
    <row r="92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</row>
    <row r="922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</row>
    <row r="923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</row>
    <row r="924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</row>
    <row r="925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</row>
    <row r="926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</row>
    <row r="927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</row>
    <row r="928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</row>
    <row r="929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</row>
    <row r="930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</row>
    <row r="93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</row>
    <row r="932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</row>
    <row r="933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</row>
    <row r="934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</row>
    <row r="935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</row>
    <row r="936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</row>
    <row r="937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</row>
    <row r="938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</row>
    <row r="939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</row>
    <row r="940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</row>
    <row r="94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</row>
    <row r="942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</row>
    <row r="943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</row>
    <row r="944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</row>
    <row r="945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</row>
    <row r="946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</row>
    <row r="947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</row>
    <row r="948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</row>
    <row r="949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</row>
    <row r="950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</row>
    <row r="95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</row>
    <row r="952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</row>
    <row r="953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</row>
    <row r="954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</row>
    <row r="955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</row>
    <row r="956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</row>
    <row r="957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</row>
    <row r="958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</row>
    <row r="959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</row>
    <row r="960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</row>
    <row r="96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</row>
    <row r="962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</row>
    <row r="963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</row>
    <row r="964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</row>
    <row r="965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</row>
    <row r="966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</row>
    <row r="967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</row>
    <row r="968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</row>
    <row r="969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</row>
    <row r="970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</row>
    <row r="97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</row>
    <row r="972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</row>
    <row r="973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</row>
    <row r="974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</row>
    <row r="975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</row>
    <row r="976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</row>
    <row r="977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</row>
    <row r="978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</row>
    <row r="979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</row>
    <row r="980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</row>
    <row r="98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</row>
    <row r="982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</row>
    <row r="983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</row>
    <row r="984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</row>
    <row r="985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</row>
    <row r="986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</row>
    <row r="987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</row>
    <row r="988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</row>
    <row r="989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</row>
    <row r="990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</row>
    <row r="99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</row>
    <row r="992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</row>
    <row r="993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</row>
    <row r="994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</row>
    <row r="995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</row>
    <row r="996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</row>
    <row r="997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</row>
    <row r="998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</row>
    <row r="999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</row>
    <row r="1000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</row>
    <row r="1001">
      <c r="A1001" s="164"/>
      <c r="B1001" s="164"/>
      <c r="C1001" s="164"/>
      <c r="D1001" s="164"/>
      <c r="E1001" s="164"/>
      <c r="F1001" s="164"/>
      <c r="G1001" s="164"/>
      <c r="H1001" s="164"/>
      <c r="I1001" s="164"/>
      <c r="J1001" s="164"/>
      <c r="K1001" s="164"/>
      <c r="L1001" s="164"/>
      <c r="M1001" s="164"/>
      <c r="N1001" s="164"/>
      <c r="O1001" s="164"/>
      <c r="P1001" s="164"/>
      <c r="Q1001" s="164"/>
      <c r="R1001" s="164"/>
      <c r="S1001" s="164"/>
      <c r="T1001" s="164"/>
      <c r="U1001" s="164"/>
      <c r="V1001" s="164"/>
      <c r="W1001" s="164"/>
      <c r="X1001" s="164"/>
      <c r="Y1001" s="164"/>
      <c r="Z1001" s="164"/>
    </row>
    <row r="1002">
      <c r="A1002" s="164"/>
      <c r="B1002" s="164"/>
      <c r="C1002" s="164"/>
      <c r="D1002" s="164"/>
      <c r="E1002" s="164"/>
      <c r="F1002" s="164"/>
      <c r="G1002" s="164"/>
      <c r="H1002" s="164"/>
      <c r="I1002" s="164"/>
      <c r="J1002" s="164"/>
      <c r="K1002" s="164"/>
      <c r="L1002" s="164"/>
      <c r="M1002" s="164"/>
      <c r="N1002" s="164"/>
      <c r="O1002" s="164"/>
      <c r="P1002" s="164"/>
      <c r="Q1002" s="164"/>
      <c r="R1002" s="164"/>
      <c r="S1002" s="164"/>
      <c r="T1002" s="164"/>
      <c r="U1002" s="164"/>
      <c r="V1002" s="164"/>
      <c r="W1002" s="164"/>
      <c r="X1002" s="164"/>
      <c r="Y1002" s="164"/>
      <c r="Z1002" s="164"/>
    </row>
    <row r="1003">
      <c r="A1003" s="164"/>
      <c r="B1003" s="164"/>
      <c r="C1003" s="164"/>
      <c r="D1003" s="164"/>
      <c r="E1003" s="164"/>
      <c r="F1003" s="164"/>
      <c r="G1003" s="164"/>
      <c r="H1003" s="164"/>
      <c r="I1003" s="164"/>
      <c r="J1003" s="164"/>
      <c r="K1003" s="164"/>
      <c r="L1003" s="164"/>
      <c r="M1003" s="164"/>
      <c r="N1003" s="164"/>
      <c r="O1003" s="164"/>
      <c r="P1003" s="164"/>
      <c r="Q1003" s="164"/>
      <c r="R1003" s="164"/>
      <c r="S1003" s="164"/>
      <c r="T1003" s="164"/>
      <c r="U1003" s="164"/>
      <c r="V1003" s="164"/>
      <c r="W1003" s="164"/>
      <c r="X1003" s="164"/>
      <c r="Y1003" s="164"/>
      <c r="Z1003" s="164"/>
    </row>
  </sheetData>
  <mergeCells count="6">
    <mergeCell ref="A5:D5"/>
    <mergeCell ref="A12:D12"/>
    <mergeCell ref="A17:D17"/>
    <mergeCell ref="A24:D24"/>
    <mergeCell ref="A27:D27"/>
    <mergeCell ref="A33:D33"/>
  </mergeCells>
  <dataValidations>
    <dataValidation type="list" allowBlank="1" showErrorMessage="1" sqref="D6:D11 D13:D16 D18:D23 D25:D26 D28:D32 D34:D36">
      <formula1>"☐,COMPLETED,MISSING"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3" max="4" width="16.38"/>
    <col customWidth="1" min="5" max="5" width="17.5"/>
    <col customWidth="1" min="6" max="7" width="16.38"/>
  </cols>
  <sheetData>
    <row r="1">
      <c r="A1" s="177" t="s">
        <v>291</v>
      </c>
      <c r="B1" s="26" t="s">
        <v>292</v>
      </c>
      <c r="C1" s="26" t="s">
        <v>293</v>
      </c>
      <c r="D1" s="26" t="s">
        <v>294</v>
      </c>
      <c r="E1" s="26" t="s">
        <v>295</v>
      </c>
      <c r="F1" s="26" t="s">
        <v>296</v>
      </c>
      <c r="G1" s="26" t="s">
        <v>297</v>
      </c>
    </row>
    <row r="2">
      <c r="A2" s="177" t="s">
        <v>112</v>
      </c>
      <c r="B2" s="26" t="s">
        <v>298</v>
      </c>
      <c r="C2" s="178">
        <v>45413.0</v>
      </c>
      <c r="D2" s="178">
        <v>46081.0</v>
      </c>
      <c r="E2" s="26">
        <v>668.0</v>
      </c>
      <c r="F2" s="26">
        <v>1.0</v>
      </c>
      <c r="G2" s="179">
        <v>300000.0</v>
      </c>
    </row>
    <row r="3">
      <c r="A3" s="177" t="s">
        <v>299</v>
      </c>
      <c r="B3" s="26" t="s">
        <v>300</v>
      </c>
      <c r="C3" s="178">
        <v>46027.0</v>
      </c>
      <c r="D3" s="178">
        <v>46081.0</v>
      </c>
      <c r="E3" s="26">
        <v>54.0</v>
      </c>
      <c r="F3" s="26">
        <v>0.18</v>
      </c>
      <c r="G3" s="179">
        <v>300000.0</v>
      </c>
    </row>
    <row r="4">
      <c r="A4" s="177" t="s">
        <v>301</v>
      </c>
      <c r="B4" s="26" t="s">
        <v>302</v>
      </c>
      <c r="C4" s="178">
        <v>46063.0</v>
      </c>
      <c r="D4" s="178">
        <v>46081.0</v>
      </c>
      <c r="E4" s="26">
        <v>18.0</v>
      </c>
      <c r="F4" s="26">
        <v>0.0</v>
      </c>
      <c r="G4" s="179">
        <v>250000.0</v>
      </c>
    </row>
    <row r="5">
      <c r="A5" s="177" t="s">
        <v>303</v>
      </c>
      <c r="B5" s="26" t="s">
        <v>304</v>
      </c>
      <c r="C5" s="178">
        <v>45712.0</v>
      </c>
      <c r="D5" s="178">
        <v>46081.0</v>
      </c>
      <c r="E5" s="26">
        <v>369.0</v>
      </c>
      <c r="F5" s="26">
        <v>1.0</v>
      </c>
      <c r="G5" s="179">
        <v>250000.0</v>
      </c>
    </row>
    <row r="6">
      <c r="A6" s="177" t="s">
        <v>305</v>
      </c>
      <c r="B6" s="26" t="s">
        <v>306</v>
      </c>
      <c r="C6" s="178">
        <v>46043.0</v>
      </c>
      <c r="D6" s="178">
        <v>46081.0</v>
      </c>
      <c r="E6" s="26">
        <v>38.0</v>
      </c>
      <c r="F6" s="26">
        <v>0.08</v>
      </c>
      <c r="G6" s="179">
        <v>250000.0</v>
      </c>
    </row>
    <row r="7">
      <c r="A7" s="177" t="s">
        <v>107</v>
      </c>
      <c r="B7" s="26" t="s">
        <v>307</v>
      </c>
      <c r="C7" s="178">
        <v>45580.0</v>
      </c>
      <c r="D7" s="178">
        <v>46081.0</v>
      </c>
      <c r="E7" s="26">
        <v>501.0</v>
      </c>
      <c r="F7" s="26">
        <v>1.0</v>
      </c>
      <c r="G7" s="179">
        <v>425000.0</v>
      </c>
    </row>
    <row r="8">
      <c r="A8" s="177" t="s">
        <v>114</v>
      </c>
      <c r="B8" s="26" t="s">
        <v>308</v>
      </c>
      <c r="C8" s="178">
        <v>45870.0</v>
      </c>
      <c r="D8" s="178">
        <v>46081.0</v>
      </c>
      <c r="E8" s="26">
        <v>211.0</v>
      </c>
      <c r="F8" s="26">
        <v>1.0</v>
      </c>
      <c r="G8" s="179">
        <v>300000.0</v>
      </c>
    </row>
    <row r="9">
      <c r="A9" s="177" t="s">
        <v>309</v>
      </c>
      <c r="B9" s="26" t="s">
        <v>310</v>
      </c>
      <c r="C9" s="178">
        <v>46062.0</v>
      </c>
      <c r="D9" s="178">
        <v>46081.0</v>
      </c>
      <c r="E9" s="26">
        <v>19.0</v>
      </c>
      <c r="F9" s="26">
        <v>0.0</v>
      </c>
      <c r="G9" s="179">
        <v>250000.0</v>
      </c>
    </row>
    <row r="10">
      <c r="A10" s="177" t="s">
        <v>311</v>
      </c>
      <c r="B10" s="26" t="s">
        <v>312</v>
      </c>
      <c r="C10" s="178">
        <v>46062.0</v>
      </c>
      <c r="D10" s="178">
        <v>46081.0</v>
      </c>
      <c r="E10" s="26">
        <v>19.0</v>
      </c>
      <c r="F10" s="26">
        <v>0.0</v>
      </c>
      <c r="G10" s="179">
        <v>250000.0</v>
      </c>
    </row>
    <row r="11">
      <c r="A11" s="177" t="s">
        <v>313</v>
      </c>
      <c r="B11" s="26" t="s">
        <v>314</v>
      </c>
      <c r="C11" s="178">
        <v>45883.0</v>
      </c>
      <c r="D11" s="178">
        <v>46081.0</v>
      </c>
      <c r="E11" s="26">
        <v>198.0</v>
      </c>
      <c r="F11" s="26">
        <v>1.0</v>
      </c>
      <c r="G11" s="179">
        <v>375000.0</v>
      </c>
    </row>
    <row r="12">
      <c r="A12" s="177" t="s">
        <v>109</v>
      </c>
      <c r="B12" s="26" t="s">
        <v>315</v>
      </c>
      <c r="C12" s="178">
        <v>45392.0</v>
      </c>
      <c r="D12" s="178">
        <v>46081.0</v>
      </c>
      <c r="E12" s="26">
        <v>689.0</v>
      </c>
      <c r="F12" s="26">
        <v>1.0</v>
      </c>
      <c r="G12" s="179">
        <v>250000.0</v>
      </c>
    </row>
    <row r="13">
      <c r="A13" s="177" t="s">
        <v>316</v>
      </c>
      <c r="B13" s="26" t="s">
        <v>317</v>
      </c>
      <c r="C13" s="178">
        <v>46027.0</v>
      </c>
      <c r="D13" s="178">
        <v>46081.0</v>
      </c>
      <c r="E13" s="26">
        <v>54.0</v>
      </c>
      <c r="F13" s="26">
        <v>0.18</v>
      </c>
      <c r="G13" s="179">
        <v>250000.0</v>
      </c>
    </row>
    <row r="14">
      <c r="A14" s="177" t="s">
        <v>318</v>
      </c>
      <c r="B14" s="26" t="s">
        <v>319</v>
      </c>
      <c r="C14" s="178">
        <v>46062.0</v>
      </c>
      <c r="D14" s="178">
        <v>46081.0</v>
      </c>
      <c r="E14" s="26">
        <v>19.0</v>
      </c>
      <c r="F14" s="26">
        <v>0.0</v>
      </c>
      <c r="G14" s="179">
        <v>250000.0</v>
      </c>
    </row>
    <row r="15">
      <c r="A15" s="26" t="s">
        <v>106</v>
      </c>
      <c r="B15" s="26" t="s">
        <v>320</v>
      </c>
      <c r="C15" s="178">
        <v>45398.0</v>
      </c>
      <c r="D15" s="178">
        <v>46081.0</v>
      </c>
      <c r="E15" s="26">
        <v>683.0</v>
      </c>
      <c r="F15" s="26">
        <v>1.0</v>
      </c>
      <c r="G15" s="179">
        <v>250000.0</v>
      </c>
    </row>
    <row r="16">
      <c r="A16" s="26" t="s">
        <v>321</v>
      </c>
      <c r="B16" s="26" t="s">
        <v>322</v>
      </c>
      <c r="C16" s="178">
        <v>45719.0</v>
      </c>
      <c r="D16" s="178">
        <v>46081.0</v>
      </c>
      <c r="E16" s="26">
        <v>362.0</v>
      </c>
      <c r="F16" s="26">
        <v>1.0</v>
      </c>
      <c r="G16" s="179">
        <v>250000.0</v>
      </c>
    </row>
  </sheetData>
  <drawing r:id="rId1"/>
</worksheet>
</file>